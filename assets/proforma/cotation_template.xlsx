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RREL\Downloads\OFFRE TRAITE\"/>
    </mc:Choice>
  </mc:AlternateContent>
  <bookViews>
    <workbookView xWindow="0" yWindow="0" windowWidth="16815" windowHeight="9045"/>
  </bookViews>
  <sheets>
    <sheet name="MARINES DE BABIHANA" sheetId="7" r:id="rId1"/>
    <sheet name="HOTEL DES SAVANES" sheetId="15" r:id="rId2"/>
    <sheet name="SONGON PARK" sheetId="16" r:id="rId3"/>
    <sheet name="COMPLEXE HOTELIER LE GRAND ROI" sheetId="18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8" i="18" l="1"/>
  <c r="F58" i="18"/>
  <c r="F57" i="18"/>
  <c r="F56" i="18"/>
  <c r="F61" i="18" s="1"/>
  <c r="F51" i="18"/>
  <c r="F53" i="18" s="1"/>
  <c r="F46" i="18"/>
  <c r="F45" i="18"/>
  <c r="F44" i="18"/>
  <c r="F48" i="18" s="1"/>
  <c r="F40" i="18"/>
  <c r="F39" i="18"/>
  <c r="F38" i="18"/>
  <c r="F37" i="18"/>
  <c r="F36" i="18"/>
  <c r="F35" i="18"/>
  <c r="F41" i="18" s="1"/>
  <c r="F31" i="18"/>
  <c r="F30" i="18"/>
  <c r="F29" i="18"/>
  <c r="F28" i="18"/>
  <c r="F32" i="18" s="1"/>
  <c r="F23" i="18"/>
  <c r="F22" i="18"/>
  <c r="F25" i="18" s="1"/>
  <c r="F19" i="18"/>
  <c r="F17" i="18"/>
  <c r="C9" i="18"/>
  <c r="F68" i="16"/>
  <c r="F58" i="16"/>
  <c r="F57" i="16"/>
  <c r="F56" i="16"/>
  <c r="F61" i="16" s="1"/>
  <c r="F51" i="16"/>
  <c r="F53" i="16" s="1"/>
  <c r="F46" i="16"/>
  <c r="F45" i="16"/>
  <c r="F44" i="16"/>
  <c r="F48" i="16" s="1"/>
  <c r="F40" i="16"/>
  <c r="F39" i="16"/>
  <c r="F38" i="16"/>
  <c r="F37" i="16"/>
  <c r="F36" i="16"/>
  <c r="F35" i="16"/>
  <c r="F31" i="16"/>
  <c r="F30" i="16"/>
  <c r="F29" i="16"/>
  <c r="F28" i="16"/>
  <c r="F32" i="16" s="1"/>
  <c r="F23" i="16"/>
  <c r="F22" i="16"/>
  <c r="F25" i="16" s="1"/>
  <c r="F19" i="16"/>
  <c r="F17" i="16"/>
  <c r="C9" i="16"/>
  <c r="F68" i="15"/>
  <c r="F58" i="15"/>
  <c r="F57" i="15"/>
  <c r="F61" i="15" s="1"/>
  <c r="F56" i="15"/>
  <c r="F51" i="15"/>
  <c r="F53" i="15" s="1"/>
  <c r="F48" i="15"/>
  <c r="F46" i="15"/>
  <c r="F45" i="15"/>
  <c r="F44" i="15"/>
  <c r="F40" i="15"/>
  <c r="F39" i="15"/>
  <c r="F38" i="15"/>
  <c r="F37" i="15"/>
  <c r="F41" i="15" s="1"/>
  <c r="F36" i="15"/>
  <c r="F35" i="15"/>
  <c r="F31" i="15"/>
  <c r="F30" i="15"/>
  <c r="F29" i="15"/>
  <c r="F28" i="15"/>
  <c r="F32" i="15" s="1"/>
  <c r="F25" i="15"/>
  <c r="F23" i="15"/>
  <c r="F22" i="15"/>
  <c r="F17" i="15"/>
  <c r="F19" i="15" s="1"/>
  <c r="C9" i="15"/>
  <c r="F63" i="18" l="1"/>
  <c r="E67" i="18" s="1"/>
  <c r="E69" i="18" s="1"/>
  <c r="F41" i="16"/>
  <c r="F63" i="16"/>
  <c r="E67" i="16" s="1"/>
  <c r="E69" i="16" s="1"/>
  <c r="F63" i="15"/>
  <c r="E67" i="15" s="1"/>
  <c r="E69" i="15" s="1"/>
  <c r="F35" i="7"/>
  <c r="F68" i="7"/>
  <c r="F31" i="7"/>
  <c r="F40" i="7"/>
  <c r="C9" i="7"/>
  <c r="F57" i="7" l="1"/>
  <c r="F58" i="7" l="1"/>
  <c r="F56" i="7"/>
  <c r="F51" i="7"/>
  <c r="F53" i="7" s="1"/>
  <c r="F46" i="7"/>
  <c r="F45" i="7"/>
  <c r="F44" i="7"/>
  <c r="F39" i="7"/>
  <c r="F38" i="7"/>
  <c r="F37" i="7"/>
  <c r="F36" i="7"/>
  <c r="F30" i="7"/>
  <c r="F29" i="7"/>
  <c r="F28" i="7"/>
  <c r="F23" i="7"/>
  <c r="F22" i="7"/>
  <c r="F17" i="7"/>
  <c r="F25" i="7" l="1"/>
  <c r="F19" i="7"/>
  <c r="F61" i="7"/>
  <c r="F32" i="7"/>
  <c r="F41" i="7"/>
  <c r="F48" i="7"/>
  <c r="F63" i="7" l="1"/>
  <c r="E67" i="7" s="1"/>
  <c r="E69" i="7" s="1"/>
</calcChain>
</file>

<file path=xl/sharedStrings.xml><?xml version="1.0" encoding="utf-8"?>
<sst xmlns="http://schemas.openxmlformats.org/spreadsheetml/2006/main" count="248" uniqueCount="62">
  <si>
    <t>BUDGET ESTIMATIF</t>
  </si>
  <si>
    <t>Désignation</t>
  </si>
  <si>
    <t>Quantité</t>
  </si>
  <si>
    <t>Coût unitaire</t>
  </si>
  <si>
    <t>TRANSPORT</t>
  </si>
  <si>
    <t>Chambre (Type : )</t>
  </si>
  <si>
    <t>LOCATION MATÉRIELS, SALLE ET ESPACE</t>
  </si>
  <si>
    <t>Salle de séminaire</t>
  </si>
  <si>
    <t>Salle pour diner</t>
  </si>
  <si>
    <t>RESTAURATION</t>
  </si>
  <si>
    <t>Forfait photo (résumé de la journée)</t>
  </si>
  <si>
    <t>TVA 18%</t>
  </si>
  <si>
    <t>TOTAL TTC</t>
  </si>
  <si>
    <t xml:space="preserve"> </t>
  </si>
  <si>
    <t xml:space="preserve">CLIENT : </t>
  </si>
  <si>
    <t>Forfait vidéo (résumé de la journée)</t>
  </si>
  <si>
    <t>ACTIVITÉS TOURISTIQUES</t>
  </si>
  <si>
    <t>DISPOSITIFS EVENEMENTIELS</t>
  </si>
  <si>
    <t>-</t>
  </si>
  <si>
    <t>HONORAIRES D'AGENCE</t>
  </si>
  <si>
    <t>HÉBERGEMENT</t>
  </si>
  <si>
    <t>COUVERTURE MÉDIA &amp; SONORISATION</t>
  </si>
  <si>
    <t>TEAM BUILDING</t>
  </si>
  <si>
    <t>LIEU :</t>
  </si>
  <si>
    <t>DURÉE</t>
  </si>
  <si>
    <t>NOMBRE DE PARTICIPANTS :</t>
  </si>
  <si>
    <t>JOUR(S) :</t>
  </si>
  <si>
    <t>NUIT(S) :</t>
  </si>
  <si>
    <t>Nombre de jours</t>
  </si>
  <si>
    <t xml:space="preserve">Coût total </t>
  </si>
  <si>
    <t>SOUS-TOTAL HÉBERGEMENT</t>
  </si>
  <si>
    <t>SOUS-TOTAL TRANSPORT</t>
  </si>
  <si>
    <t>SOUS-TOTAL LOCATION MATÉRIELS, SALLE ET ESPACE</t>
  </si>
  <si>
    <t>SOUS-TOTAL RESTAURATION</t>
  </si>
  <si>
    <t>SOUS-TOTAL ACTIVITÉS TOURISTIQUES</t>
  </si>
  <si>
    <t>SOUS-TOTAL DISPOSITIFS EVENEMENTIELS</t>
  </si>
  <si>
    <t>Forfait droit de bouchons (10.000/Vin et 15.000/Champagne)</t>
  </si>
  <si>
    <t>SOUS-TOTAL COUVERTURE MÉDIA &amp; SONORISATION</t>
  </si>
  <si>
    <t>DATE :</t>
  </si>
  <si>
    <t>Honoraires de conception, d'organisation, de mise en œuvre opérationnelle et d’animations d’activités de Team Building 
-Matériels et port
-Ressources humaines
-Transport de l'équipe
-Restauration de l'équipe
-Hébergement de l'équipe</t>
  </si>
  <si>
    <t>SOUS-TOTAL MISE EN ŒUVRE</t>
  </si>
  <si>
    <t xml:space="preserve">Orchestre live </t>
  </si>
  <si>
    <t>Decoration pour le diner gala</t>
  </si>
  <si>
    <t>Espace pour activités de Team Building</t>
  </si>
  <si>
    <t xml:space="preserve">Rafraichissements (eau - sodas - jus ) </t>
  </si>
  <si>
    <t xml:space="preserve">Chambre (Type : STANDARD)  </t>
  </si>
  <si>
    <t xml:space="preserve">Forfait Sonorisation pour les activités de Team Building </t>
  </si>
  <si>
    <t>ASSINIE</t>
  </si>
  <si>
    <t>SIRIUS FINANCES</t>
  </si>
  <si>
    <t>Petit déjeuner dans le car</t>
  </si>
  <si>
    <t>Déjeuner (jour 1 &amp; 2)</t>
  </si>
  <si>
    <t>Diner simple( jour 1 ) &amp; gala (jour 2)</t>
  </si>
  <si>
    <t>Animation DJ pour le diner (jour 2)</t>
  </si>
  <si>
    <t xml:space="preserve">Chambre (Type : VILLA:3 chambres - salon )  </t>
  </si>
  <si>
    <t>JACQUEVILLE</t>
  </si>
  <si>
    <t>Chambre (Type : CONFORT)</t>
  </si>
  <si>
    <t>Activités touristiques (frais + guide) :cimetière des avions, visite du quartier colonial de matrala, decouverte de la presqu'île</t>
  </si>
  <si>
    <t>Déjeuner (jour 1 à l'hotel &amp; jour 2 à la Presqu'île du Christ)</t>
  </si>
  <si>
    <t>Activités touristiques (frais + guide) :Visite des îles éhotilés</t>
  </si>
  <si>
    <t>Activités touristiques (frais + guide) Visite des îles éhotilés</t>
  </si>
  <si>
    <t>Car confort climatisé + Carburant + Chauffeur + Péages (45 places )</t>
  </si>
  <si>
    <t>Petit déjeuner sur le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</si>
</sst>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* #,##0\ &quot;CFA&quot;_-;\-* #,##0\ &quot;CFA&quot;_-;_-* &quot;-&quot;\ &quot;CFA&quot;_-;_-@_-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4"/>
      <color rgb="FFFF000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0" borderId="12" xfId="0" applyFont="1" applyBorder="1" applyAlignment="1">
      <alignment horizontal="left"/>
    </xf>
    <xf numFmtId="14" fontId="1" fillId="0" borderId="12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left"/>
    </xf>
    <xf numFmtId="1" fontId="1" fillId="0" borderId="20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37" xfId="0" applyFont="1" applyBorder="1" applyAlignment="1">
      <alignment horizontal="left" vertical="center"/>
    </xf>
    <xf numFmtId="1" fontId="1" fillId="0" borderId="38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0" borderId="13" xfId="0" applyFont="1" applyBorder="1" applyAlignment="1">
      <alignment horizontal="center" vertical="center"/>
    </xf>
    <xf numFmtId="0" fontId="1" fillId="0" borderId="36" xfId="0" applyFont="1" applyBorder="1" applyAlignment="1">
      <alignment horizontal="left" vertical="center"/>
    </xf>
    <xf numFmtId="1" fontId="1" fillId="0" borderId="6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1" fontId="1" fillId="0" borderId="3" xfId="0" applyNumberFormat="1" applyFont="1" applyBorder="1"/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5" borderId="17" xfId="0" applyFont="1" applyFill="1" applyBorder="1" applyAlignment="1">
      <alignment horizontal="centerContinuous" vertical="center"/>
    </xf>
    <xf numFmtId="0" fontId="1" fillId="5" borderId="18" xfId="0" applyFont="1" applyFill="1" applyBorder="1" applyAlignment="1">
      <alignment horizontal="centerContinuous" vertical="center"/>
    </xf>
    <xf numFmtId="0" fontId="1" fillId="5" borderId="19" xfId="0" applyFont="1" applyFill="1" applyBorder="1" applyAlignment="1">
      <alignment horizontal="centerContinuous" vertical="center"/>
    </xf>
    <xf numFmtId="0" fontId="1" fillId="0" borderId="20" xfId="0" applyFont="1" applyBorder="1" applyAlignment="1">
      <alignment vertical="center" wrapText="1"/>
    </xf>
    <xf numFmtId="0" fontId="2" fillId="0" borderId="21" xfId="0" applyFont="1" applyBorder="1" applyAlignment="1">
      <alignment horizontal="center" vertical="center"/>
    </xf>
    <xf numFmtId="42" fontId="2" fillId="0" borderId="20" xfId="0" applyNumberFormat="1" applyFont="1" applyBorder="1" applyAlignment="1">
      <alignment vertical="center"/>
    </xf>
    <xf numFmtId="1" fontId="2" fillId="0" borderId="21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1" fillId="3" borderId="25" xfId="0" applyFont="1" applyFill="1" applyBorder="1" applyAlignment="1">
      <alignment horizontal="centerContinuous" vertical="center"/>
    </xf>
    <xf numFmtId="0" fontId="1" fillId="3" borderId="26" xfId="0" applyFont="1" applyFill="1" applyBorder="1" applyAlignment="1">
      <alignment horizontal="centerContinuous" vertical="center"/>
    </xf>
    <xf numFmtId="0" fontId="1" fillId="3" borderId="27" xfId="0" applyFont="1" applyFill="1" applyBorder="1" applyAlignment="1">
      <alignment horizontal="centerContinuous" vertical="center"/>
    </xf>
    <xf numFmtId="42" fontId="1" fillId="3" borderId="13" xfId="0" applyNumberFormat="1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" fillId="5" borderId="9" xfId="0" applyFont="1" applyFill="1" applyBorder="1" applyAlignment="1">
      <alignment horizontal="centerContinuous" vertical="center"/>
    </xf>
    <xf numFmtId="0" fontId="1" fillId="5" borderId="10" xfId="0" applyFont="1" applyFill="1" applyBorder="1" applyAlignment="1">
      <alignment horizontal="centerContinuous" vertical="center"/>
    </xf>
    <xf numFmtId="0" fontId="1" fillId="5" borderId="11" xfId="0" applyFont="1" applyFill="1" applyBorder="1" applyAlignment="1">
      <alignment horizontal="centerContinuous" vertical="center"/>
    </xf>
    <xf numFmtId="0" fontId="1" fillId="0" borderId="20" xfId="0" applyFont="1" applyBorder="1" applyAlignment="1">
      <alignment vertical="center"/>
    </xf>
    <xf numFmtId="42" fontId="2" fillId="0" borderId="22" xfId="0" applyNumberFormat="1" applyFont="1" applyBorder="1" applyAlignment="1">
      <alignment vertical="center"/>
    </xf>
    <xf numFmtId="1" fontId="2" fillId="0" borderId="23" xfId="0" applyNumberFormat="1" applyFont="1" applyBorder="1" applyAlignment="1">
      <alignment horizontal="center" vertical="center"/>
    </xf>
    <xf numFmtId="0" fontId="1" fillId="3" borderId="25" xfId="0" applyFont="1" applyFill="1" applyBorder="1" applyAlignment="1">
      <alignment vertical="center"/>
    </xf>
    <xf numFmtId="1" fontId="2" fillId="0" borderId="16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0" fontId="1" fillId="0" borderId="28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42" fontId="2" fillId="0" borderId="28" xfId="0" applyNumberFormat="1" applyFont="1" applyBorder="1" applyAlignment="1">
      <alignment vertical="center"/>
    </xf>
    <xf numFmtId="42" fontId="1" fillId="3" borderId="15" xfId="0" applyNumberFormat="1" applyFont="1" applyFill="1" applyBorder="1" applyAlignment="1">
      <alignment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42" fontId="2" fillId="0" borderId="14" xfId="0" applyNumberFormat="1" applyFont="1" applyBorder="1"/>
    <xf numFmtId="0" fontId="2" fillId="0" borderId="23" xfId="0" applyFont="1" applyBorder="1"/>
    <xf numFmtId="0" fontId="2" fillId="0" borderId="22" xfId="0" applyFont="1" applyBorder="1"/>
    <xf numFmtId="0" fontId="2" fillId="0" borderId="33" xfId="0" applyFont="1" applyBorder="1"/>
    <xf numFmtId="0" fontId="2" fillId="3" borderId="25" xfId="0" applyFont="1" applyFill="1" applyBorder="1"/>
    <xf numFmtId="42" fontId="1" fillId="3" borderId="27" xfId="0" applyNumberFormat="1" applyFont="1" applyFill="1" applyBorder="1"/>
    <xf numFmtId="0" fontId="1" fillId="3" borderId="29" xfId="0" applyFont="1" applyFill="1" applyBorder="1" applyAlignment="1">
      <alignment horizontal="centerContinuous" vertical="center"/>
    </xf>
    <xf numFmtId="0" fontId="1" fillId="3" borderId="30" xfId="0" applyFont="1" applyFill="1" applyBorder="1" applyAlignment="1">
      <alignment horizontal="centerContinuous" vertical="center"/>
    </xf>
    <xf numFmtId="42" fontId="1" fillId="3" borderId="24" xfId="0" applyNumberFormat="1" applyFont="1" applyFill="1" applyBorder="1" applyAlignment="1">
      <alignment vertical="center"/>
    </xf>
    <xf numFmtId="0" fontId="1" fillId="4" borderId="9" xfId="0" applyFont="1" applyFill="1" applyBorder="1"/>
    <xf numFmtId="0" fontId="1" fillId="4" borderId="29" xfId="0" applyFont="1" applyFill="1" applyBorder="1" applyAlignment="1">
      <alignment horizontal="centerContinuous" vertical="center"/>
    </xf>
    <xf numFmtId="0" fontId="1" fillId="4" borderId="34" xfId="0" applyFont="1" applyFill="1" applyBorder="1" applyAlignment="1">
      <alignment horizontal="centerContinuous" vertical="center"/>
    </xf>
    <xf numFmtId="42" fontId="1" fillId="4" borderId="13" xfId="0" applyNumberFormat="1" applyFont="1" applyFill="1" applyBorder="1"/>
    <xf numFmtId="0" fontId="1" fillId="0" borderId="6" xfId="0" applyFont="1" applyBorder="1"/>
    <xf numFmtId="0" fontId="1" fillId="0" borderId="1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center"/>
    </xf>
    <xf numFmtId="42" fontId="1" fillId="0" borderId="8" xfId="0" applyNumberFormat="1" applyFont="1" applyBorder="1"/>
    <xf numFmtId="42" fontId="1" fillId="3" borderId="10" xfId="0" applyNumberFormat="1" applyFont="1" applyFill="1" applyBorder="1" applyAlignment="1">
      <alignment horizontal="centerContinuous"/>
    </xf>
    <xf numFmtId="42" fontId="1" fillId="3" borderId="11" xfId="0" applyNumberFormat="1" applyFont="1" applyFill="1" applyBorder="1" applyAlignment="1">
      <alignment horizontal="centerContinuous"/>
    </xf>
    <xf numFmtId="0" fontId="3" fillId="3" borderId="9" xfId="0" applyFont="1" applyFill="1" applyBorder="1" applyAlignment="1">
      <alignment horizontal="center" vertical="center"/>
    </xf>
    <xf numFmtId="42" fontId="3" fillId="0" borderId="9" xfId="0" applyNumberFormat="1" applyFont="1" applyBorder="1" applyAlignment="1">
      <alignment horizontal="centerContinuous"/>
    </xf>
    <xf numFmtId="42" fontId="3" fillId="0" borderId="11" xfId="0" applyNumberFormat="1" applyFont="1" applyBorder="1" applyAlignment="1">
      <alignment horizontal="centerContinuous"/>
    </xf>
    <xf numFmtId="0" fontId="1" fillId="7" borderId="9" xfId="0" applyFont="1" applyFill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42" fontId="2" fillId="0" borderId="14" xfId="0" applyNumberFormat="1" applyFont="1" applyBorder="1" applyAlignment="1">
      <alignment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42" fontId="1" fillId="7" borderId="9" xfId="0" applyNumberFormat="1" applyFont="1" applyFill="1" applyBorder="1" applyAlignment="1">
      <alignment horizontal="center"/>
    </xf>
    <xf numFmtId="42" fontId="1" fillId="7" borderId="11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51852</xdr:colOff>
      <xdr:row>71</xdr:row>
      <xdr:rowOff>60504</xdr:rowOff>
    </xdr:from>
    <xdr:to>
      <xdr:col>5</xdr:col>
      <xdr:colOff>3643901</xdr:colOff>
      <xdr:row>79</xdr:row>
      <xdr:rowOff>114933</xdr:rowOff>
    </xdr:to>
    <xdr:sp macro="" textlink="">
      <xdr:nvSpPr>
        <xdr:cNvPr id="2" name="Rectangle à coins arrondis 7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137577" y="36465054"/>
          <a:ext cx="17803349" cy="279762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3200" b="1">
              <a:solidFill>
                <a:sysClr val="windowText" lastClr="000000"/>
              </a:solidFill>
            </a:rPr>
            <a:t>Ce document est un estimatif budgétaire</a:t>
          </a:r>
          <a:r>
            <a:rPr lang="fr-FR" sz="3200" b="1" baseline="0">
              <a:solidFill>
                <a:sysClr val="windowText" lastClr="000000"/>
              </a:solidFill>
            </a:rPr>
            <a:t> et non un dévis. Il est par conséquent amené à être revu à la hausse ou à la baisse, en fonction des options et caractéristiques définitivement retenues.</a:t>
          </a:r>
          <a:r>
            <a:rPr lang="fr-FR" sz="32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oneCellAnchor>
    <xdr:from>
      <xdr:col>2</xdr:col>
      <xdr:colOff>604156</xdr:colOff>
      <xdr:row>2</xdr:row>
      <xdr:rowOff>40820</xdr:rowOff>
    </xdr:from>
    <xdr:ext cx="5798005" cy="1692730"/>
    <xdr:pic>
      <xdr:nvPicPr>
        <xdr:cNvPr id="3" name="Imag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4549" y="299356"/>
          <a:ext cx="5798005" cy="169273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51852</xdr:colOff>
      <xdr:row>71</xdr:row>
      <xdr:rowOff>60504</xdr:rowOff>
    </xdr:from>
    <xdr:to>
      <xdr:col>5</xdr:col>
      <xdr:colOff>3643901</xdr:colOff>
      <xdr:row>79</xdr:row>
      <xdr:rowOff>114933</xdr:rowOff>
    </xdr:to>
    <xdr:sp macro="" textlink="">
      <xdr:nvSpPr>
        <xdr:cNvPr id="2" name="Rectangle à coins arrondis 7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137577" y="33426579"/>
          <a:ext cx="20251274" cy="195942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3200" b="1">
              <a:solidFill>
                <a:sysClr val="windowText" lastClr="000000"/>
              </a:solidFill>
            </a:rPr>
            <a:t>Ce document est un estimatif budgétaire</a:t>
          </a:r>
          <a:r>
            <a:rPr lang="fr-FR" sz="3200" b="1" baseline="0">
              <a:solidFill>
                <a:sysClr val="windowText" lastClr="000000"/>
              </a:solidFill>
            </a:rPr>
            <a:t> et non un dévis. Il est par conséquent amené à être revu à la hausse ou à la baisse, en fonction des options et caractéristiques définitivement retenues.</a:t>
          </a:r>
          <a:r>
            <a:rPr lang="fr-FR" sz="32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oneCellAnchor>
    <xdr:from>
      <xdr:col>2</xdr:col>
      <xdr:colOff>604156</xdr:colOff>
      <xdr:row>2</xdr:row>
      <xdr:rowOff>40820</xdr:rowOff>
    </xdr:from>
    <xdr:ext cx="5798005" cy="1692730"/>
    <xdr:pic>
      <xdr:nvPicPr>
        <xdr:cNvPr id="3" name="Imag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5156" y="297995"/>
          <a:ext cx="5798005" cy="169273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51852</xdr:colOff>
      <xdr:row>71</xdr:row>
      <xdr:rowOff>60504</xdr:rowOff>
    </xdr:from>
    <xdr:to>
      <xdr:col>5</xdr:col>
      <xdr:colOff>3643901</xdr:colOff>
      <xdr:row>79</xdr:row>
      <xdr:rowOff>114933</xdr:rowOff>
    </xdr:to>
    <xdr:sp macro="" textlink="">
      <xdr:nvSpPr>
        <xdr:cNvPr id="2" name="Rectangle à coins arrondis 7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137577" y="33426579"/>
          <a:ext cx="20251274" cy="195942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3200" b="1">
              <a:solidFill>
                <a:sysClr val="windowText" lastClr="000000"/>
              </a:solidFill>
            </a:rPr>
            <a:t>Ce document est un estimatif budgétaire</a:t>
          </a:r>
          <a:r>
            <a:rPr lang="fr-FR" sz="3200" b="1" baseline="0">
              <a:solidFill>
                <a:sysClr val="windowText" lastClr="000000"/>
              </a:solidFill>
            </a:rPr>
            <a:t> et non un dévis. Il est par conséquent amené à être revu à la hausse ou à la baisse, en fonction des options et caractéristiques définitivement retenues.</a:t>
          </a:r>
          <a:r>
            <a:rPr lang="fr-FR" sz="32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oneCellAnchor>
    <xdr:from>
      <xdr:col>2</xdr:col>
      <xdr:colOff>604156</xdr:colOff>
      <xdr:row>2</xdr:row>
      <xdr:rowOff>40820</xdr:rowOff>
    </xdr:from>
    <xdr:ext cx="5798005" cy="1692730"/>
    <xdr:pic>
      <xdr:nvPicPr>
        <xdr:cNvPr id="3" name="Imag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5156" y="297995"/>
          <a:ext cx="5798005" cy="169273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51852</xdr:colOff>
      <xdr:row>71</xdr:row>
      <xdr:rowOff>60504</xdr:rowOff>
    </xdr:from>
    <xdr:to>
      <xdr:col>5</xdr:col>
      <xdr:colOff>3643901</xdr:colOff>
      <xdr:row>79</xdr:row>
      <xdr:rowOff>114933</xdr:rowOff>
    </xdr:to>
    <xdr:sp macro="" textlink="">
      <xdr:nvSpPr>
        <xdr:cNvPr id="2" name="Rectangle à coins arrondis 7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137577" y="33426579"/>
          <a:ext cx="20251274" cy="195942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3200" b="1">
              <a:solidFill>
                <a:sysClr val="windowText" lastClr="000000"/>
              </a:solidFill>
            </a:rPr>
            <a:t>Ce document est un estimatif budgétaire</a:t>
          </a:r>
          <a:r>
            <a:rPr lang="fr-FR" sz="3200" b="1" baseline="0">
              <a:solidFill>
                <a:sysClr val="windowText" lastClr="000000"/>
              </a:solidFill>
            </a:rPr>
            <a:t> et non un dévis. Il est par conséquent amené à être revu à la hausse ou à la baisse, en fonction des options et caractéristiques définitivement retenues.</a:t>
          </a:r>
          <a:r>
            <a:rPr lang="fr-FR" sz="32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oneCellAnchor>
    <xdr:from>
      <xdr:col>2</xdr:col>
      <xdr:colOff>604156</xdr:colOff>
      <xdr:row>2</xdr:row>
      <xdr:rowOff>40820</xdr:rowOff>
    </xdr:from>
    <xdr:ext cx="5798005" cy="1692730"/>
    <xdr:pic>
      <xdr:nvPicPr>
        <xdr:cNvPr id="3" name="Imag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5156" y="297995"/>
          <a:ext cx="5798005" cy="16927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0"/>
  <sheetViews>
    <sheetView tabSelected="1" showWhiteSpace="0" zoomScale="53" zoomScaleNormal="53" zoomScaleSheetLayoutView="32" zoomScalePageLayoutView="43" workbookViewId="0">
      <selection activeCell="D36" sqref="D36"/>
    </sheetView>
  </sheetViews>
  <sheetFormatPr baseColWidth="10" defaultColWidth="11.42578125" defaultRowHeight="18.75" x14ac:dyDescent="0.3"/>
  <cols>
    <col min="1" max="1" width="1.28515625" style="3" customWidth="1"/>
    <col min="2" max="2" width="118.7109375" style="1" customWidth="1"/>
    <col min="3" max="3" width="36.5703125" style="2" customWidth="1"/>
    <col min="4" max="4" width="59.28515625" style="3" customWidth="1"/>
    <col min="5" max="5" width="36.28515625" style="2" customWidth="1"/>
    <col min="6" max="6" width="53.7109375" style="3" customWidth="1"/>
    <col min="7" max="16384" width="11.42578125" style="3"/>
  </cols>
  <sheetData>
    <row r="1" spans="2:7" ht="6.4" customHeight="1" thickBot="1" x14ac:dyDescent="0.35"/>
    <row r="2" spans="2:7" ht="14.65" customHeight="1" x14ac:dyDescent="0.3">
      <c r="B2" s="4"/>
      <c r="C2" s="5"/>
      <c r="D2" s="5"/>
      <c r="E2" s="5"/>
      <c r="F2" s="6"/>
    </row>
    <row r="3" spans="2:7" ht="14.65" customHeight="1" x14ac:dyDescent="0.3">
      <c r="B3" s="7"/>
      <c r="C3" s="3"/>
      <c r="E3" s="3"/>
      <c r="F3" s="8"/>
    </row>
    <row r="4" spans="2:7" ht="14.65" customHeight="1" x14ac:dyDescent="0.3">
      <c r="B4" s="7"/>
      <c r="C4" s="3"/>
      <c r="E4" s="3"/>
      <c r="F4" s="8"/>
    </row>
    <row r="5" spans="2:7" ht="14.65" customHeight="1" x14ac:dyDescent="0.3">
      <c r="B5" s="7"/>
      <c r="C5" s="3"/>
      <c r="E5" s="3"/>
      <c r="F5" s="8"/>
    </row>
    <row r="6" spans="2:7" ht="105" customHeight="1" thickBot="1" x14ac:dyDescent="0.35">
      <c r="B6" s="9"/>
      <c r="C6" s="10"/>
      <c r="D6" s="10"/>
      <c r="E6" s="10"/>
      <c r="F6" s="11"/>
    </row>
    <row r="7" spans="2:7" ht="63" customHeight="1" x14ac:dyDescent="0.3">
      <c r="B7" s="12"/>
      <c r="C7" s="13"/>
      <c r="D7" s="14" t="s">
        <v>0</v>
      </c>
      <c r="E7" s="13"/>
      <c r="F7" s="15"/>
      <c r="G7" s="16"/>
    </row>
    <row r="8" spans="2:7" ht="42.6" customHeight="1" thickBot="1" x14ac:dyDescent="0.35">
      <c r="B8" s="17"/>
      <c r="C8" s="18"/>
      <c r="D8" s="19" t="s">
        <v>22</v>
      </c>
      <c r="E8" s="18"/>
      <c r="F8" s="20"/>
      <c r="G8" s="16"/>
    </row>
    <row r="9" spans="2:7" ht="32.65" customHeight="1" x14ac:dyDescent="0.3">
      <c r="B9" s="21" t="s">
        <v>38</v>
      </c>
      <c r="C9" s="22">
        <f ca="1">TODAY()</f>
        <v>46149</v>
      </c>
      <c r="E9" s="23" t="s">
        <v>23</v>
      </c>
      <c r="F9" s="24" t="s">
        <v>47</v>
      </c>
    </row>
    <row r="10" spans="2:7" ht="29.65" customHeight="1" x14ac:dyDescent="0.3">
      <c r="B10" s="25" t="s">
        <v>14</v>
      </c>
      <c r="C10" s="26" t="s">
        <v>48</v>
      </c>
      <c r="D10" s="27" t="s">
        <v>24</v>
      </c>
      <c r="E10" s="28" t="s">
        <v>26</v>
      </c>
      <c r="F10" s="29">
        <v>3</v>
      </c>
      <c r="G10" s="30"/>
    </row>
    <row r="11" spans="2:7" ht="30.4" customHeight="1" thickBot="1" x14ac:dyDescent="0.35">
      <c r="B11" s="31" t="s">
        <v>25</v>
      </c>
      <c r="C11" s="32">
        <v>39</v>
      </c>
      <c r="E11" s="33" t="s">
        <v>27</v>
      </c>
      <c r="F11" s="34">
        <v>2</v>
      </c>
      <c r="G11" s="30"/>
    </row>
    <row r="12" spans="2:7" x14ac:dyDescent="0.3">
      <c r="B12" s="35"/>
      <c r="C12" s="36"/>
      <c r="F12" s="37"/>
      <c r="G12" s="1"/>
    </row>
    <row r="13" spans="2:7" ht="17.649999999999999" customHeight="1" x14ac:dyDescent="0.3">
      <c r="B13" s="38"/>
      <c r="C13" s="16"/>
      <c r="D13" s="16"/>
      <c r="E13" s="16"/>
      <c r="F13" s="39"/>
    </row>
    <row r="14" spans="2:7" ht="24.4" customHeight="1" thickBot="1" x14ac:dyDescent="0.35">
      <c r="B14" s="40"/>
      <c r="C14" s="41"/>
      <c r="D14" s="41"/>
      <c r="E14" s="41"/>
      <c r="F14" s="42"/>
    </row>
    <row r="15" spans="2:7" s="45" customFormat="1" ht="26.65" customHeight="1" thickBot="1" x14ac:dyDescent="0.3">
      <c r="B15" s="43" t="s">
        <v>1</v>
      </c>
      <c r="C15" s="44" t="s">
        <v>2</v>
      </c>
      <c r="D15" s="43" t="s">
        <v>3</v>
      </c>
      <c r="E15" s="44" t="s">
        <v>28</v>
      </c>
      <c r="F15" s="43" t="s">
        <v>29</v>
      </c>
    </row>
    <row r="16" spans="2:7" s="45" customFormat="1" ht="34.9" customHeight="1" thickBot="1" x14ac:dyDescent="0.3">
      <c r="B16" s="46" t="s">
        <v>4</v>
      </c>
      <c r="C16" s="47"/>
      <c r="D16" s="47"/>
      <c r="E16" s="47"/>
      <c r="F16" s="48"/>
    </row>
    <row r="17" spans="2:6" ht="64.900000000000006" customHeight="1" x14ac:dyDescent="0.3">
      <c r="B17" s="49" t="s">
        <v>60</v>
      </c>
      <c r="C17" s="50">
        <v>1</v>
      </c>
      <c r="D17" s="51">
        <v>200000</v>
      </c>
      <c r="E17" s="52">
        <v>3</v>
      </c>
      <c r="F17" s="51">
        <f>C17*D17*E17</f>
        <v>600000</v>
      </c>
    </row>
    <row r="18" spans="2:6" ht="34.9" customHeight="1" x14ac:dyDescent="0.3">
      <c r="B18" s="53" t="s">
        <v>18</v>
      </c>
      <c r="C18" s="54"/>
      <c r="D18" s="55"/>
      <c r="E18" s="54"/>
      <c r="F18" s="55"/>
    </row>
    <row r="19" spans="2:6" ht="34.9" customHeight="1" thickBot="1" x14ac:dyDescent="0.35">
      <c r="B19" s="56"/>
      <c r="C19" s="57" t="s">
        <v>31</v>
      </c>
      <c r="D19" s="57"/>
      <c r="E19" s="58"/>
      <c r="F19" s="59">
        <f>SUM(F17:F18)</f>
        <v>600000</v>
      </c>
    </row>
    <row r="20" spans="2:6" ht="34.9" customHeight="1" thickBot="1" x14ac:dyDescent="0.35">
      <c r="B20" s="60"/>
      <c r="C20" s="61"/>
      <c r="D20" s="62"/>
      <c r="E20" s="61"/>
      <c r="F20" s="63"/>
    </row>
    <row r="21" spans="2:6" ht="34.9" customHeight="1" thickBot="1" x14ac:dyDescent="0.35">
      <c r="B21" s="64" t="s">
        <v>20</v>
      </c>
      <c r="C21" s="65"/>
      <c r="D21" s="65"/>
      <c r="E21" s="65"/>
      <c r="F21" s="66"/>
    </row>
    <row r="22" spans="2:6" ht="34.9" customHeight="1" x14ac:dyDescent="0.3">
      <c r="B22" s="67" t="s">
        <v>45</v>
      </c>
      <c r="C22" s="50">
        <v>39</v>
      </c>
      <c r="D22" s="51">
        <v>100000</v>
      </c>
      <c r="E22" s="52">
        <v>2</v>
      </c>
      <c r="F22" s="51">
        <f>C22*D22*E22</f>
        <v>7800000</v>
      </c>
    </row>
    <row r="23" spans="2:6" ht="34.9" customHeight="1" x14ac:dyDescent="0.3">
      <c r="B23" s="53" t="s">
        <v>5</v>
      </c>
      <c r="C23" s="54"/>
      <c r="D23" s="68"/>
      <c r="E23" s="69"/>
      <c r="F23" s="68">
        <f>C23*D23*E23</f>
        <v>0</v>
      </c>
    </row>
    <row r="24" spans="2:6" ht="34.9" customHeight="1" x14ac:dyDescent="0.3">
      <c r="B24" s="53" t="s">
        <v>18</v>
      </c>
      <c r="C24" s="54"/>
      <c r="D24" s="55"/>
      <c r="E24" s="54"/>
      <c r="F24" s="55"/>
    </row>
    <row r="25" spans="2:6" ht="34.9" customHeight="1" thickBot="1" x14ac:dyDescent="0.35">
      <c r="B25" s="56"/>
      <c r="C25" s="57" t="s">
        <v>30</v>
      </c>
      <c r="D25" s="57"/>
      <c r="E25" s="58"/>
      <c r="F25" s="59">
        <f>SUM(F22:F24)</f>
        <v>7800000</v>
      </c>
    </row>
    <row r="26" spans="2:6" ht="34.9" customHeight="1" thickBot="1" x14ac:dyDescent="0.35">
      <c r="B26" s="60"/>
      <c r="C26" s="61"/>
      <c r="D26" s="62"/>
      <c r="E26" s="61"/>
      <c r="F26" s="63"/>
    </row>
    <row r="27" spans="2:6" ht="34.9" customHeight="1" thickBot="1" x14ac:dyDescent="0.35">
      <c r="B27" s="46" t="s">
        <v>6</v>
      </c>
      <c r="C27" s="47"/>
      <c r="D27" s="47"/>
      <c r="E27" s="47"/>
      <c r="F27" s="48"/>
    </row>
    <row r="28" spans="2:6" ht="34.9" customHeight="1" x14ac:dyDescent="0.3">
      <c r="B28" s="67" t="s">
        <v>7</v>
      </c>
      <c r="C28" s="50"/>
      <c r="D28" s="51"/>
      <c r="E28" s="50"/>
      <c r="F28" s="51">
        <f>C28*D28*E28</f>
        <v>0</v>
      </c>
    </row>
    <row r="29" spans="2:6" ht="34.9" customHeight="1" x14ac:dyDescent="0.3">
      <c r="B29" s="53" t="s">
        <v>43</v>
      </c>
      <c r="C29" s="54"/>
      <c r="D29" s="68"/>
      <c r="E29" s="54"/>
      <c r="F29" s="68">
        <f>C29*D29*E29</f>
        <v>0</v>
      </c>
    </row>
    <row r="30" spans="2:6" ht="34.9" customHeight="1" x14ac:dyDescent="0.3">
      <c r="B30" s="53" t="s">
        <v>8</v>
      </c>
      <c r="C30" s="54"/>
      <c r="D30" s="68"/>
      <c r="E30" s="54"/>
      <c r="F30" s="68">
        <f>C30*D30*E30</f>
        <v>0</v>
      </c>
    </row>
    <row r="31" spans="2:6" ht="34.9" customHeight="1" x14ac:dyDescent="0.3">
      <c r="B31" s="53" t="s">
        <v>18</v>
      </c>
      <c r="C31" s="54"/>
      <c r="D31" s="55"/>
      <c r="E31" s="54"/>
      <c r="F31" s="68">
        <f>C31*D31*E31</f>
        <v>0</v>
      </c>
    </row>
    <row r="32" spans="2:6" ht="34.9" customHeight="1" thickBot="1" x14ac:dyDescent="0.35">
      <c r="B32" s="70"/>
      <c r="C32" s="57" t="s">
        <v>32</v>
      </c>
      <c r="D32" s="57"/>
      <c r="E32" s="58"/>
      <c r="F32" s="59">
        <f>SUM(F28:F31)</f>
        <v>0</v>
      </c>
    </row>
    <row r="33" spans="2:6" ht="34.9" customHeight="1" thickBot="1" x14ac:dyDescent="0.35">
      <c r="B33" s="60"/>
      <c r="C33" s="61"/>
      <c r="D33" s="62"/>
      <c r="E33" s="61"/>
      <c r="F33" s="63"/>
    </row>
    <row r="34" spans="2:6" ht="34.9" customHeight="1" thickBot="1" x14ac:dyDescent="0.35">
      <c r="B34" s="113" t="s">
        <v>9</v>
      </c>
      <c r="C34" s="114"/>
      <c r="D34" s="114"/>
      <c r="E34" s="114"/>
      <c r="F34" s="115"/>
    </row>
    <row r="35" spans="2:6" ht="34.9" customHeight="1" x14ac:dyDescent="0.3">
      <c r="B35" s="67" t="s">
        <v>61</v>
      </c>
      <c r="C35" s="52">
        <v>39</v>
      </c>
      <c r="D35" s="51">
        <v>10000</v>
      </c>
      <c r="E35" s="52">
        <v>1</v>
      </c>
      <c r="F35" s="51">
        <f>C35*D35*E35</f>
        <v>390000</v>
      </c>
    </row>
    <row r="36" spans="2:6" ht="34.9" customHeight="1" x14ac:dyDescent="0.3">
      <c r="B36" s="53" t="s">
        <v>50</v>
      </c>
      <c r="C36" s="71">
        <v>39</v>
      </c>
      <c r="D36" s="68">
        <v>25000</v>
      </c>
      <c r="E36" s="69">
        <v>2</v>
      </c>
      <c r="F36" s="68">
        <f t="shared" ref="F36:F40" si="0">C36*D36*E36</f>
        <v>1950000</v>
      </c>
    </row>
    <row r="37" spans="2:6" ht="34.9" customHeight="1" x14ac:dyDescent="0.3">
      <c r="B37" s="53" t="s">
        <v>51</v>
      </c>
      <c r="C37" s="71">
        <v>39</v>
      </c>
      <c r="D37" s="68">
        <v>30000</v>
      </c>
      <c r="E37" s="54">
        <v>2</v>
      </c>
      <c r="F37" s="68">
        <f t="shared" si="0"/>
        <v>2340000</v>
      </c>
    </row>
    <row r="38" spans="2:6" ht="34.9" customHeight="1" x14ac:dyDescent="0.3">
      <c r="B38" s="72" t="s">
        <v>44</v>
      </c>
      <c r="C38" s="71">
        <v>39</v>
      </c>
      <c r="D38" s="68">
        <v>10000</v>
      </c>
      <c r="E38" s="69">
        <v>2</v>
      </c>
      <c r="F38" s="68">
        <f t="shared" si="0"/>
        <v>780000</v>
      </c>
    </row>
    <row r="39" spans="2:6" ht="57" customHeight="1" x14ac:dyDescent="0.3">
      <c r="B39" s="72" t="s">
        <v>36</v>
      </c>
      <c r="C39" s="54"/>
      <c r="D39" s="68"/>
      <c r="E39" s="54"/>
      <c r="F39" s="68">
        <f t="shared" si="0"/>
        <v>0</v>
      </c>
    </row>
    <row r="40" spans="2:6" ht="34.9" customHeight="1" x14ac:dyDescent="0.3">
      <c r="B40" s="53" t="s">
        <v>18</v>
      </c>
      <c r="C40" s="54"/>
      <c r="D40" s="55"/>
      <c r="E40" s="54"/>
      <c r="F40" s="68">
        <f t="shared" si="0"/>
        <v>0</v>
      </c>
    </row>
    <row r="41" spans="2:6" ht="34.9" customHeight="1" thickBot="1" x14ac:dyDescent="0.35">
      <c r="B41" s="70"/>
      <c r="C41" s="57" t="s">
        <v>33</v>
      </c>
      <c r="D41" s="57"/>
      <c r="E41" s="58"/>
      <c r="F41" s="59">
        <f>SUM(F35:F40)</f>
        <v>5460000</v>
      </c>
    </row>
    <row r="42" spans="2:6" ht="34.9" customHeight="1" thickBot="1" x14ac:dyDescent="0.35">
      <c r="B42" s="60"/>
      <c r="C42" s="61"/>
      <c r="D42" s="62"/>
      <c r="E42" s="61"/>
      <c r="F42" s="63"/>
    </row>
    <row r="43" spans="2:6" ht="34.9" customHeight="1" thickBot="1" x14ac:dyDescent="0.35">
      <c r="B43" s="46" t="s">
        <v>21</v>
      </c>
      <c r="C43" s="47"/>
      <c r="D43" s="47"/>
      <c r="E43" s="47"/>
      <c r="F43" s="48"/>
    </row>
    <row r="44" spans="2:6" ht="34.9" customHeight="1" x14ac:dyDescent="0.3">
      <c r="B44" s="73" t="s">
        <v>10</v>
      </c>
      <c r="C44" s="74">
        <v>1</v>
      </c>
      <c r="D44" s="75">
        <v>150000</v>
      </c>
      <c r="E44" s="71">
        <v>2</v>
      </c>
      <c r="F44" s="75">
        <f>C44*D44*E44</f>
        <v>300000</v>
      </c>
    </row>
    <row r="45" spans="2:6" ht="34.9" customHeight="1" x14ac:dyDescent="0.3">
      <c r="B45" s="53" t="s">
        <v>15</v>
      </c>
      <c r="C45" s="54">
        <v>1</v>
      </c>
      <c r="D45" s="68">
        <v>200000</v>
      </c>
      <c r="E45" s="69">
        <v>2</v>
      </c>
      <c r="F45" s="68">
        <f>C45*D45*E45</f>
        <v>400000</v>
      </c>
    </row>
    <row r="46" spans="2:6" ht="34.9" customHeight="1" x14ac:dyDescent="0.3">
      <c r="B46" s="53" t="s">
        <v>46</v>
      </c>
      <c r="C46" s="54">
        <v>1</v>
      </c>
      <c r="D46" s="68">
        <v>100000</v>
      </c>
      <c r="E46" s="69">
        <v>1</v>
      </c>
      <c r="F46" s="68">
        <f>C46*D46*E46</f>
        <v>100000</v>
      </c>
    </row>
    <row r="47" spans="2:6" ht="34.9" customHeight="1" x14ac:dyDescent="0.3">
      <c r="B47" s="53" t="s">
        <v>18</v>
      </c>
      <c r="C47" s="54"/>
      <c r="D47" s="55"/>
      <c r="E47" s="54"/>
      <c r="F47" s="55"/>
    </row>
    <row r="48" spans="2:6" ht="34.9" customHeight="1" thickBot="1" x14ac:dyDescent="0.35">
      <c r="B48" s="70"/>
      <c r="C48" s="57" t="s">
        <v>37</v>
      </c>
      <c r="D48" s="57"/>
      <c r="E48" s="58"/>
      <c r="F48" s="76">
        <f>SUM(F44:F46)</f>
        <v>800000</v>
      </c>
    </row>
    <row r="49" spans="1:6" ht="34.9" customHeight="1" thickBot="1" x14ac:dyDescent="0.35">
      <c r="B49" s="77"/>
      <c r="C49" s="78"/>
      <c r="D49" s="78"/>
      <c r="E49" s="78"/>
      <c r="F49" s="79"/>
    </row>
    <row r="50" spans="1:6" ht="34.9" customHeight="1" thickBot="1" x14ac:dyDescent="0.35">
      <c r="B50" s="64" t="s">
        <v>16</v>
      </c>
      <c r="C50" s="65"/>
      <c r="D50" s="65"/>
      <c r="E50" s="65"/>
      <c r="F50" s="66"/>
    </row>
    <row r="51" spans="1:6" ht="49.15" customHeight="1" thickBot="1" x14ac:dyDescent="0.35">
      <c r="B51" s="49" t="s">
        <v>58</v>
      </c>
      <c r="C51" s="109">
        <v>39</v>
      </c>
      <c r="D51" s="110">
        <v>15000</v>
      </c>
      <c r="E51" s="111">
        <v>1</v>
      </c>
      <c r="F51" s="112">
        <f>C51*D51*E51</f>
        <v>585000</v>
      </c>
    </row>
    <row r="52" spans="1:6" ht="34.9" customHeight="1" x14ac:dyDescent="0.3">
      <c r="B52" s="67"/>
      <c r="C52" s="81"/>
      <c r="D52" s="82"/>
      <c r="E52" s="83"/>
      <c r="F52" s="80"/>
    </row>
    <row r="53" spans="1:6" ht="34.9" customHeight="1" thickBot="1" x14ac:dyDescent="0.35">
      <c r="B53" s="84"/>
      <c r="C53" s="57" t="s">
        <v>34</v>
      </c>
      <c r="D53" s="57"/>
      <c r="E53" s="58"/>
      <c r="F53" s="85">
        <f>SUM(F51:F52)</f>
        <v>585000</v>
      </c>
    </row>
    <row r="54" spans="1:6" ht="34.9" customHeight="1" thickBot="1" x14ac:dyDescent="0.35">
      <c r="A54" s="3" t="s">
        <v>13</v>
      </c>
      <c r="B54" s="60"/>
      <c r="C54" s="61"/>
      <c r="D54" s="62"/>
      <c r="E54" s="61"/>
      <c r="F54" s="63"/>
    </row>
    <row r="55" spans="1:6" ht="34.9" customHeight="1" thickBot="1" x14ac:dyDescent="0.35">
      <c r="B55" s="64" t="s">
        <v>17</v>
      </c>
      <c r="C55" s="65"/>
      <c r="D55" s="65"/>
      <c r="E55" s="65"/>
      <c r="F55" s="66"/>
    </row>
    <row r="56" spans="1:6" ht="34.9" customHeight="1" x14ac:dyDescent="0.3">
      <c r="B56" s="73" t="s">
        <v>52</v>
      </c>
      <c r="C56" s="74">
        <v>1</v>
      </c>
      <c r="D56" s="75">
        <v>200000</v>
      </c>
      <c r="E56" s="74">
        <v>1</v>
      </c>
      <c r="F56" s="75">
        <f t="shared" ref="F56:F58" si="1">C56*D56*E56</f>
        <v>200000</v>
      </c>
    </row>
    <row r="57" spans="1:6" ht="34.9" customHeight="1" x14ac:dyDescent="0.3">
      <c r="B57" s="53" t="s">
        <v>41</v>
      </c>
      <c r="C57" s="54">
        <v>1</v>
      </c>
      <c r="D57" s="68">
        <v>500000</v>
      </c>
      <c r="E57" s="54">
        <v>1</v>
      </c>
      <c r="F57" s="68">
        <f>C57*D57*E57</f>
        <v>500000</v>
      </c>
    </row>
    <row r="58" spans="1:6" ht="34.9" customHeight="1" x14ac:dyDescent="0.3">
      <c r="B58" s="53" t="s">
        <v>42</v>
      </c>
      <c r="C58" s="54">
        <v>1</v>
      </c>
      <c r="D58" s="68">
        <v>500000</v>
      </c>
      <c r="E58" s="54">
        <v>1</v>
      </c>
      <c r="F58" s="68">
        <f t="shared" si="1"/>
        <v>500000</v>
      </c>
    </row>
    <row r="59" spans="1:6" ht="34.9" customHeight="1" x14ac:dyDescent="0.3">
      <c r="B59" s="53" t="s">
        <v>18</v>
      </c>
      <c r="C59" s="54"/>
      <c r="D59" s="68"/>
      <c r="E59" s="54"/>
      <c r="F59" s="68"/>
    </row>
    <row r="60" spans="1:6" ht="34.9" customHeight="1" x14ac:dyDescent="0.3">
      <c r="B60" s="53" t="s">
        <v>18</v>
      </c>
      <c r="C60" s="54"/>
      <c r="D60" s="55"/>
      <c r="E60" s="54"/>
      <c r="F60" s="55"/>
    </row>
    <row r="61" spans="1:6" ht="34.9" customHeight="1" thickBot="1" x14ac:dyDescent="0.35">
      <c r="B61" s="70"/>
      <c r="C61" s="86" t="s">
        <v>35</v>
      </c>
      <c r="D61" s="86"/>
      <c r="E61" s="87"/>
      <c r="F61" s="88">
        <f>SUM(F56:F60)</f>
        <v>1200000</v>
      </c>
    </row>
    <row r="62" spans="1:6" ht="34.9" customHeight="1" thickBot="1" x14ac:dyDescent="0.35">
      <c r="B62" s="60"/>
      <c r="C62" s="61"/>
      <c r="D62" s="62"/>
      <c r="E62" s="61"/>
      <c r="F62" s="63"/>
    </row>
    <row r="63" spans="1:6" ht="34.9" customHeight="1" thickBot="1" x14ac:dyDescent="0.35">
      <c r="B63" s="89"/>
      <c r="C63" s="90" t="s">
        <v>40</v>
      </c>
      <c r="D63" s="90"/>
      <c r="E63" s="91"/>
      <c r="F63" s="92">
        <f>F19+F25+F32+F41+F48+F53+F61</f>
        <v>16445000</v>
      </c>
    </row>
    <row r="64" spans="1:6" ht="34.9" customHeight="1" thickBot="1" x14ac:dyDescent="0.35">
      <c r="B64" s="93"/>
      <c r="C64" s="94"/>
      <c r="D64" s="95"/>
      <c r="E64" s="96"/>
      <c r="F64" s="97"/>
    </row>
    <row r="65" spans="2:6" ht="45.4" customHeight="1" thickBot="1" x14ac:dyDescent="0.35">
      <c r="B65" s="46" t="s">
        <v>19</v>
      </c>
      <c r="C65" s="47"/>
      <c r="D65" s="47"/>
      <c r="E65" s="47"/>
      <c r="F65" s="48"/>
    </row>
    <row r="66" spans="2:6" ht="202.15" customHeight="1" thickBot="1" x14ac:dyDescent="0.35">
      <c r="B66" s="98" t="s">
        <v>39</v>
      </c>
      <c r="C66" s="99"/>
      <c r="D66" s="100"/>
      <c r="E66" s="101"/>
      <c r="F66" s="102">
        <v>2700000</v>
      </c>
    </row>
    <row r="67" spans="2:6" ht="43.15" customHeight="1" thickBot="1" x14ac:dyDescent="0.35">
      <c r="B67" s="118"/>
      <c r="C67" s="119"/>
      <c r="D67" s="120"/>
      <c r="E67" s="103">
        <f>F63+F66</f>
        <v>19145000</v>
      </c>
      <c r="F67" s="104"/>
    </row>
    <row r="68" spans="2:6" ht="46.15" customHeight="1" thickBot="1" x14ac:dyDescent="0.35">
      <c r="D68" s="105" t="s">
        <v>11</v>
      </c>
      <c r="E68" s="106"/>
      <c r="F68" s="107">
        <f>F66*18%</f>
        <v>486000</v>
      </c>
    </row>
    <row r="69" spans="2:6" ht="46.9" customHeight="1" thickBot="1" x14ac:dyDescent="0.35">
      <c r="D69" s="108" t="s">
        <v>12</v>
      </c>
      <c r="E69" s="116">
        <f>SUM(E67:F68)</f>
        <v>19631000</v>
      </c>
      <c r="F69" s="117"/>
    </row>
    <row r="80" spans="2:6" x14ac:dyDescent="0.3">
      <c r="E80" s="2" t="s">
        <v>13</v>
      </c>
    </row>
  </sheetData>
  <mergeCells count="3">
    <mergeCell ref="B34:F34"/>
    <mergeCell ref="E69:F69"/>
    <mergeCell ref="B67:D67"/>
  </mergeCells>
  <pageMargins left="0.23622047244094491" right="0.23622047244094491" top="0.74803149606299213" bottom="0.74803149606299213" header="0.31496062992125984" footer="0.31496062992125984"/>
  <pageSetup paperSize="9" scale="31" fitToHeight="0" orientation="portrait" r:id="rId1"/>
  <headerFooter>
    <oddHeader>&amp;C&amp;25&amp;U&amp;F&amp;U
YAMOUSSOUKRO - JACQUEVILLE</oddHeader>
    <oddFooter>&amp;C&amp;22Page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opLeftCell="A4" zoomScale="57" zoomScaleNormal="57" workbookViewId="0">
      <selection activeCell="D36" sqref="D36"/>
    </sheetView>
  </sheetViews>
  <sheetFormatPr baseColWidth="10" defaultColWidth="11.42578125" defaultRowHeight="18.75" x14ac:dyDescent="0.3"/>
  <cols>
    <col min="1" max="1" width="1.28515625" style="3" customWidth="1"/>
    <col min="2" max="2" width="118.7109375" style="1" customWidth="1"/>
    <col min="3" max="3" width="36.5703125" style="2" customWidth="1"/>
    <col min="4" max="4" width="59.28515625" style="3" customWidth="1"/>
    <col min="5" max="5" width="36.28515625" style="2" customWidth="1"/>
    <col min="6" max="6" width="53.7109375" style="3" customWidth="1"/>
    <col min="7" max="16384" width="11.42578125" style="3"/>
  </cols>
  <sheetData>
    <row r="1" spans="2:7" ht="6.4" customHeight="1" thickBot="1" x14ac:dyDescent="0.35"/>
    <row r="2" spans="2:7" ht="14.65" customHeight="1" x14ac:dyDescent="0.3">
      <c r="B2" s="4"/>
      <c r="C2" s="5"/>
      <c r="D2" s="5"/>
      <c r="E2" s="5"/>
      <c r="F2" s="6"/>
    </row>
    <row r="3" spans="2:7" ht="14.65" customHeight="1" x14ac:dyDescent="0.3">
      <c r="B3" s="7"/>
      <c r="C3" s="3"/>
      <c r="E3" s="3"/>
      <c r="F3" s="8"/>
    </row>
    <row r="4" spans="2:7" ht="14.65" customHeight="1" x14ac:dyDescent="0.3">
      <c r="B4" s="7"/>
      <c r="C4" s="3"/>
      <c r="E4" s="3"/>
      <c r="F4" s="8"/>
    </row>
    <row r="5" spans="2:7" ht="14.65" customHeight="1" x14ac:dyDescent="0.3">
      <c r="B5" s="7"/>
      <c r="C5" s="3"/>
      <c r="E5" s="3"/>
      <c r="F5" s="8"/>
    </row>
    <row r="6" spans="2:7" ht="105" customHeight="1" thickBot="1" x14ac:dyDescent="0.35">
      <c r="B6" s="9"/>
      <c r="C6" s="10"/>
      <c r="D6" s="10"/>
      <c r="E6" s="10"/>
      <c r="F6" s="11"/>
    </row>
    <row r="7" spans="2:7" ht="63" customHeight="1" x14ac:dyDescent="0.3">
      <c r="B7" s="12"/>
      <c r="C7" s="13"/>
      <c r="D7" s="14" t="s">
        <v>0</v>
      </c>
      <c r="E7" s="13"/>
      <c r="F7" s="15"/>
      <c r="G7" s="16"/>
    </row>
    <row r="8" spans="2:7" ht="42.6" customHeight="1" thickBot="1" x14ac:dyDescent="0.35">
      <c r="B8" s="17"/>
      <c r="C8" s="18"/>
      <c r="D8" s="19" t="s">
        <v>22</v>
      </c>
      <c r="E8" s="18"/>
      <c r="F8" s="20"/>
      <c r="G8" s="16"/>
    </row>
    <row r="9" spans="2:7" ht="32.65" customHeight="1" x14ac:dyDescent="0.3">
      <c r="B9" s="21" t="s">
        <v>38</v>
      </c>
      <c r="C9" s="22">
        <f ca="1">TODAY()</f>
        <v>46149</v>
      </c>
      <c r="E9" s="23" t="s">
        <v>23</v>
      </c>
      <c r="F9" s="24" t="s">
        <v>47</v>
      </c>
    </row>
    <row r="10" spans="2:7" ht="29.65" customHeight="1" x14ac:dyDescent="0.3">
      <c r="B10" s="25" t="s">
        <v>14</v>
      </c>
      <c r="C10" s="26" t="s">
        <v>48</v>
      </c>
      <c r="D10" s="27" t="s">
        <v>24</v>
      </c>
      <c r="E10" s="28" t="s">
        <v>26</v>
      </c>
      <c r="F10" s="29">
        <v>3</v>
      </c>
      <c r="G10" s="30"/>
    </row>
    <row r="11" spans="2:7" ht="30.4" customHeight="1" thickBot="1" x14ac:dyDescent="0.35">
      <c r="B11" s="31" t="s">
        <v>25</v>
      </c>
      <c r="C11" s="32">
        <v>39</v>
      </c>
      <c r="E11" s="33" t="s">
        <v>27</v>
      </c>
      <c r="F11" s="34">
        <v>2</v>
      </c>
      <c r="G11" s="30"/>
    </row>
    <row r="12" spans="2:7" x14ac:dyDescent="0.3">
      <c r="B12" s="35"/>
      <c r="C12" s="36"/>
      <c r="F12" s="37"/>
      <c r="G12" s="1"/>
    </row>
    <row r="13" spans="2:7" ht="17.649999999999999" customHeight="1" x14ac:dyDescent="0.3">
      <c r="B13" s="38"/>
      <c r="C13" s="16"/>
      <c r="D13" s="16"/>
      <c r="E13" s="16"/>
      <c r="F13" s="39"/>
    </row>
    <row r="14" spans="2:7" ht="24.4" customHeight="1" thickBot="1" x14ac:dyDescent="0.35">
      <c r="B14" s="40"/>
      <c r="C14" s="41"/>
      <c r="D14" s="41"/>
      <c r="E14" s="41"/>
      <c r="F14" s="42"/>
    </row>
    <row r="15" spans="2:7" s="45" customFormat="1" ht="26.65" customHeight="1" thickBot="1" x14ac:dyDescent="0.3">
      <c r="B15" s="43" t="s">
        <v>1</v>
      </c>
      <c r="C15" s="44" t="s">
        <v>2</v>
      </c>
      <c r="D15" s="43" t="s">
        <v>3</v>
      </c>
      <c r="E15" s="44" t="s">
        <v>28</v>
      </c>
      <c r="F15" s="43" t="s">
        <v>29</v>
      </c>
    </row>
    <row r="16" spans="2:7" s="45" customFormat="1" ht="34.9" customHeight="1" thickBot="1" x14ac:dyDescent="0.3">
      <c r="B16" s="46" t="s">
        <v>4</v>
      </c>
      <c r="C16" s="47"/>
      <c r="D16" s="47"/>
      <c r="E16" s="47"/>
      <c r="F16" s="48"/>
    </row>
    <row r="17" spans="2:6" ht="64.900000000000006" customHeight="1" x14ac:dyDescent="0.3">
      <c r="B17" s="49" t="s">
        <v>60</v>
      </c>
      <c r="C17" s="50">
        <v>1</v>
      </c>
      <c r="D17" s="51">
        <v>200000</v>
      </c>
      <c r="E17" s="52">
        <v>3</v>
      </c>
      <c r="F17" s="51">
        <f>C17*D17*E17</f>
        <v>600000</v>
      </c>
    </row>
    <row r="18" spans="2:6" ht="34.9" customHeight="1" x14ac:dyDescent="0.3">
      <c r="B18" s="53" t="s">
        <v>18</v>
      </c>
      <c r="C18" s="54"/>
      <c r="D18" s="55"/>
      <c r="E18" s="54"/>
      <c r="F18" s="55"/>
    </row>
    <row r="19" spans="2:6" ht="34.9" customHeight="1" thickBot="1" x14ac:dyDescent="0.35">
      <c r="B19" s="56"/>
      <c r="C19" s="57" t="s">
        <v>31</v>
      </c>
      <c r="D19" s="57"/>
      <c r="E19" s="58"/>
      <c r="F19" s="59">
        <f>SUM(F17:F18)</f>
        <v>600000</v>
      </c>
    </row>
    <row r="20" spans="2:6" ht="34.9" customHeight="1" thickBot="1" x14ac:dyDescent="0.35">
      <c r="B20" s="60"/>
      <c r="C20" s="61"/>
      <c r="D20" s="62"/>
      <c r="E20" s="61"/>
      <c r="F20" s="63"/>
    </row>
    <row r="21" spans="2:6" ht="34.9" customHeight="1" thickBot="1" x14ac:dyDescent="0.35">
      <c r="B21" s="64" t="s">
        <v>20</v>
      </c>
      <c r="C21" s="65"/>
      <c r="D21" s="65"/>
      <c r="E21" s="65"/>
      <c r="F21" s="66"/>
    </row>
    <row r="22" spans="2:6" ht="34.9" customHeight="1" x14ac:dyDescent="0.3">
      <c r="B22" s="67" t="s">
        <v>53</v>
      </c>
      <c r="C22" s="50">
        <v>39</v>
      </c>
      <c r="D22" s="51">
        <v>90000</v>
      </c>
      <c r="E22" s="52">
        <v>2</v>
      </c>
      <c r="F22" s="51">
        <f>C22*D22*E22</f>
        <v>7020000</v>
      </c>
    </row>
    <row r="23" spans="2:6" ht="34.9" customHeight="1" x14ac:dyDescent="0.3">
      <c r="B23" s="53" t="s">
        <v>5</v>
      </c>
      <c r="C23" s="54"/>
      <c r="D23" s="68"/>
      <c r="E23" s="69"/>
      <c r="F23" s="68">
        <f>C23*D23*E23</f>
        <v>0</v>
      </c>
    </row>
    <row r="24" spans="2:6" ht="34.9" customHeight="1" x14ac:dyDescent="0.3">
      <c r="B24" s="53" t="s">
        <v>18</v>
      </c>
      <c r="C24" s="54"/>
      <c r="D24" s="55"/>
      <c r="E24" s="54"/>
      <c r="F24" s="55"/>
    </row>
    <row r="25" spans="2:6" ht="34.9" customHeight="1" thickBot="1" x14ac:dyDescent="0.35">
      <c r="B25" s="56"/>
      <c r="C25" s="57" t="s">
        <v>30</v>
      </c>
      <c r="D25" s="57"/>
      <c r="E25" s="58"/>
      <c r="F25" s="59">
        <f>SUM(F22:F24)</f>
        <v>7020000</v>
      </c>
    </row>
    <row r="26" spans="2:6" ht="34.9" customHeight="1" thickBot="1" x14ac:dyDescent="0.35">
      <c r="B26" s="60"/>
      <c r="C26" s="61"/>
      <c r="D26" s="62"/>
      <c r="E26" s="61"/>
      <c r="F26" s="63"/>
    </row>
    <row r="27" spans="2:6" ht="34.9" customHeight="1" thickBot="1" x14ac:dyDescent="0.35">
      <c r="B27" s="46" t="s">
        <v>6</v>
      </c>
      <c r="C27" s="47"/>
      <c r="D27" s="47"/>
      <c r="E27" s="47"/>
      <c r="F27" s="48"/>
    </row>
    <row r="28" spans="2:6" ht="34.9" customHeight="1" x14ac:dyDescent="0.3">
      <c r="B28" s="67" t="s">
        <v>7</v>
      </c>
      <c r="C28" s="50"/>
      <c r="D28" s="51"/>
      <c r="E28" s="50"/>
      <c r="F28" s="51">
        <f>C28*D28*E28</f>
        <v>0</v>
      </c>
    </row>
    <row r="29" spans="2:6" ht="34.9" customHeight="1" x14ac:dyDescent="0.3">
      <c r="B29" s="53" t="s">
        <v>43</v>
      </c>
      <c r="C29" s="54"/>
      <c r="D29" s="68"/>
      <c r="E29" s="54"/>
      <c r="F29" s="68">
        <f>C29*D29*E29</f>
        <v>0</v>
      </c>
    </row>
    <row r="30" spans="2:6" ht="34.9" customHeight="1" x14ac:dyDescent="0.3">
      <c r="B30" s="53" t="s">
        <v>8</v>
      </c>
      <c r="C30" s="54"/>
      <c r="D30" s="68"/>
      <c r="E30" s="54"/>
      <c r="F30" s="68">
        <f>C30*D30*E30</f>
        <v>0</v>
      </c>
    </row>
    <row r="31" spans="2:6" ht="34.9" customHeight="1" x14ac:dyDescent="0.3">
      <c r="B31" s="53" t="s">
        <v>18</v>
      </c>
      <c r="C31" s="54"/>
      <c r="D31" s="55"/>
      <c r="E31" s="54"/>
      <c r="F31" s="68">
        <f>C31*D31*E31</f>
        <v>0</v>
      </c>
    </row>
    <row r="32" spans="2:6" ht="34.9" customHeight="1" thickBot="1" x14ac:dyDescent="0.35">
      <c r="B32" s="70"/>
      <c r="C32" s="57" t="s">
        <v>32</v>
      </c>
      <c r="D32" s="57"/>
      <c r="E32" s="58"/>
      <c r="F32" s="59">
        <f>SUM(F28:F31)</f>
        <v>0</v>
      </c>
    </row>
    <row r="33" spans="2:6" ht="34.9" customHeight="1" thickBot="1" x14ac:dyDescent="0.35">
      <c r="B33" s="60"/>
      <c r="C33" s="61"/>
      <c r="D33" s="62"/>
      <c r="E33" s="61"/>
      <c r="F33" s="63"/>
    </row>
    <row r="34" spans="2:6" ht="34.9" customHeight="1" thickBot="1" x14ac:dyDescent="0.35">
      <c r="B34" s="113" t="s">
        <v>9</v>
      </c>
      <c r="C34" s="114"/>
      <c r="D34" s="114"/>
      <c r="E34" s="114"/>
      <c r="F34" s="115"/>
    </row>
    <row r="35" spans="2:6" ht="34.9" customHeight="1" x14ac:dyDescent="0.3">
      <c r="B35" s="67" t="s">
        <v>61</v>
      </c>
      <c r="C35" s="52">
        <v>39</v>
      </c>
      <c r="D35" s="51">
        <v>10000</v>
      </c>
      <c r="E35" s="52">
        <v>1</v>
      </c>
      <c r="F35" s="51">
        <f>C35*D35*E35</f>
        <v>390000</v>
      </c>
    </row>
    <row r="36" spans="2:6" ht="34.9" customHeight="1" x14ac:dyDescent="0.3">
      <c r="B36" s="53" t="s">
        <v>50</v>
      </c>
      <c r="C36" s="71">
        <v>39</v>
      </c>
      <c r="D36" s="68">
        <v>25000</v>
      </c>
      <c r="E36" s="69">
        <v>2</v>
      </c>
      <c r="F36" s="68">
        <f t="shared" ref="F36:F40" si="0">C36*D36*E36</f>
        <v>1950000</v>
      </c>
    </row>
    <row r="37" spans="2:6" ht="34.9" customHeight="1" x14ac:dyDescent="0.3">
      <c r="B37" s="53" t="s">
        <v>51</v>
      </c>
      <c r="C37" s="71">
        <v>39</v>
      </c>
      <c r="D37" s="68">
        <v>30000</v>
      </c>
      <c r="E37" s="54">
        <v>2</v>
      </c>
      <c r="F37" s="68">
        <f t="shared" si="0"/>
        <v>2340000</v>
      </c>
    </row>
    <row r="38" spans="2:6" ht="34.9" customHeight="1" x14ac:dyDescent="0.3">
      <c r="B38" s="72" t="s">
        <v>44</v>
      </c>
      <c r="C38" s="71">
        <v>39</v>
      </c>
      <c r="D38" s="68">
        <v>10000</v>
      </c>
      <c r="E38" s="69">
        <v>2</v>
      </c>
      <c r="F38" s="68">
        <f t="shared" si="0"/>
        <v>780000</v>
      </c>
    </row>
    <row r="39" spans="2:6" ht="57" customHeight="1" x14ac:dyDescent="0.3">
      <c r="B39" s="72" t="s">
        <v>36</v>
      </c>
      <c r="C39" s="54"/>
      <c r="D39" s="68"/>
      <c r="E39" s="54"/>
      <c r="F39" s="68">
        <f t="shared" si="0"/>
        <v>0</v>
      </c>
    </row>
    <row r="40" spans="2:6" ht="34.9" customHeight="1" x14ac:dyDescent="0.3">
      <c r="B40" s="53" t="s">
        <v>18</v>
      </c>
      <c r="C40" s="54"/>
      <c r="D40" s="55"/>
      <c r="E40" s="54"/>
      <c r="F40" s="68">
        <f t="shared" si="0"/>
        <v>0</v>
      </c>
    </row>
    <row r="41" spans="2:6" ht="34.9" customHeight="1" thickBot="1" x14ac:dyDescent="0.35">
      <c r="B41" s="70"/>
      <c r="C41" s="57" t="s">
        <v>33</v>
      </c>
      <c r="D41" s="57"/>
      <c r="E41" s="58"/>
      <c r="F41" s="59">
        <f>SUM(F35:F40)</f>
        <v>5460000</v>
      </c>
    </row>
    <row r="42" spans="2:6" ht="34.9" customHeight="1" thickBot="1" x14ac:dyDescent="0.35">
      <c r="B42" s="60"/>
      <c r="C42" s="61"/>
      <c r="D42" s="62"/>
      <c r="E42" s="61"/>
      <c r="F42" s="63"/>
    </row>
    <row r="43" spans="2:6" ht="34.9" customHeight="1" thickBot="1" x14ac:dyDescent="0.35">
      <c r="B43" s="46" t="s">
        <v>21</v>
      </c>
      <c r="C43" s="47"/>
      <c r="D43" s="47"/>
      <c r="E43" s="47"/>
      <c r="F43" s="48"/>
    </row>
    <row r="44" spans="2:6" ht="34.9" customHeight="1" x14ac:dyDescent="0.3">
      <c r="B44" s="73" t="s">
        <v>10</v>
      </c>
      <c r="C44" s="74">
        <v>1</v>
      </c>
      <c r="D44" s="75">
        <v>150000</v>
      </c>
      <c r="E44" s="71">
        <v>2</v>
      </c>
      <c r="F44" s="75">
        <f>C44*D44*E44</f>
        <v>300000</v>
      </c>
    </row>
    <row r="45" spans="2:6" ht="34.9" customHeight="1" x14ac:dyDescent="0.3">
      <c r="B45" s="53" t="s">
        <v>15</v>
      </c>
      <c r="C45" s="54">
        <v>1</v>
      </c>
      <c r="D45" s="68">
        <v>200000</v>
      </c>
      <c r="E45" s="69">
        <v>2</v>
      </c>
      <c r="F45" s="68">
        <f>C45*D45*E45</f>
        <v>400000</v>
      </c>
    </row>
    <row r="46" spans="2:6" ht="34.9" customHeight="1" x14ac:dyDescent="0.3">
      <c r="B46" s="53" t="s">
        <v>46</v>
      </c>
      <c r="C46" s="54">
        <v>1</v>
      </c>
      <c r="D46" s="68">
        <v>100000</v>
      </c>
      <c r="E46" s="69">
        <v>1</v>
      </c>
      <c r="F46" s="68">
        <f>C46*D46*E46</f>
        <v>100000</v>
      </c>
    </row>
    <row r="47" spans="2:6" ht="34.9" customHeight="1" x14ac:dyDescent="0.3">
      <c r="B47" s="53" t="s">
        <v>18</v>
      </c>
      <c r="C47" s="54"/>
      <c r="D47" s="55"/>
      <c r="E47" s="54"/>
      <c r="F47" s="55"/>
    </row>
    <row r="48" spans="2:6" ht="34.9" customHeight="1" thickBot="1" x14ac:dyDescent="0.35">
      <c r="B48" s="70"/>
      <c r="C48" s="57" t="s">
        <v>37</v>
      </c>
      <c r="D48" s="57"/>
      <c r="E48" s="58"/>
      <c r="F48" s="76">
        <f>SUM(F44:F46)</f>
        <v>800000</v>
      </c>
    </row>
    <row r="49" spans="1:6" ht="34.9" customHeight="1" thickBot="1" x14ac:dyDescent="0.35">
      <c r="B49" s="77"/>
      <c r="C49" s="78"/>
      <c r="D49" s="78"/>
      <c r="E49" s="78"/>
      <c r="F49" s="79"/>
    </row>
    <row r="50" spans="1:6" ht="34.9" customHeight="1" thickBot="1" x14ac:dyDescent="0.35">
      <c r="B50" s="64" t="s">
        <v>16</v>
      </c>
      <c r="C50" s="65"/>
      <c r="D50" s="65"/>
      <c r="E50" s="65"/>
      <c r="F50" s="66"/>
    </row>
    <row r="51" spans="1:6" ht="49.15" customHeight="1" thickBot="1" x14ac:dyDescent="0.35">
      <c r="B51" s="49" t="s">
        <v>59</v>
      </c>
      <c r="C51" s="109">
        <v>39</v>
      </c>
      <c r="D51" s="110">
        <v>15000</v>
      </c>
      <c r="E51" s="111">
        <v>1</v>
      </c>
      <c r="F51" s="112">
        <f>C51*D51*E51</f>
        <v>585000</v>
      </c>
    </row>
    <row r="52" spans="1:6" ht="34.9" customHeight="1" x14ac:dyDescent="0.3">
      <c r="B52" s="67"/>
      <c r="C52" s="81"/>
      <c r="D52" s="82"/>
      <c r="E52" s="83"/>
      <c r="F52" s="80"/>
    </row>
    <row r="53" spans="1:6" ht="34.9" customHeight="1" thickBot="1" x14ac:dyDescent="0.35">
      <c r="B53" s="84"/>
      <c r="C53" s="57" t="s">
        <v>34</v>
      </c>
      <c r="D53" s="57"/>
      <c r="E53" s="58"/>
      <c r="F53" s="85">
        <f>SUM(F51:F52)</f>
        <v>585000</v>
      </c>
    </row>
    <row r="54" spans="1:6" ht="34.9" customHeight="1" thickBot="1" x14ac:dyDescent="0.35">
      <c r="A54" s="3" t="s">
        <v>13</v>
      </c>
      <c r="B54" s="60"/>
      <c r="C54" s="61"/>
      <c r="D54" s="62"/>
      <c r="E54" s="61"/>
      <c r="F54" s="63"/>
    </row>
    <row r="55" spans="1:6" ht="34.9" customHeight="1" thickBot="1" x14ac:dyDescent="0.35">
      <c r="B55" s="64" t="s">
        <v>17</v>
      </c>
      <c r="C55" s="65"/>
      <c r="D55" s="65"/>
      <c r="E55" s="65"/>
      <c r="F55" s="66"/>
    </row>
    <row r="56" spans="1:6" ht="34.9" customHeight="1" x14ac:dyDescent="0.3">
      <c r="B56" s="73" t="s">
        <v>52</v>
      </c>
      <c r="C56" s="74">
        <v>1</v>
      </c>
      <c r="D56" s="75">
        <v>200000</v>
      </c>
      <c r="E56" s="74">
        <v>1</v>
      </c>
      <c r="F56" s="75">
        <f t="shared" ref="F56:F58" si="1">C56*D56*E56</f>
        <v>200000</v>
      </c>
    </row>
    <row r="57" spans="1:6" ht="34.9" customHeight="1" x14ac:dyDescent="0.3">
      <c r="B57" s="53" t="s">
        <v>41</v>
      </c>
      <c r="C57" s="54">
        <v>1</v>
      </c>
      <c r="D57" s="68">
        <v>500000</v>
      </c>
      <c r="E57" s="54">
        <v>1</v>
      </c>
      <c r="F57" s="68">
        <f>C57*D57*E57</f>
        <v>500000</v>
      </c>
    </row>
    <row r="58" spans="1:6" ht="34.9" customHeight="1" x14ac:dyDescent="0.3">
      <c r="B58" s="53" t="s">
        <v>42</v>
      </c>
      <c r="C58" s="54">
        <v>1</v>
      </c>
      <c r="D58" s="68">
        <v>500000</v>
      </c>
      <c r="E58" s="54">
        <v>1</v>
      </c>
      <c r="F58" s="68">
        <f t="shared" si="1"/>
        <v>500000</v>
      </c>
    </row>
    <row r="59" spans="1:6" ht="34.9" customHeight="1" x14ac:dyDescent="0.3">
      <c r="B59" s="53" t="s">
        <v>18</v>
      </c>
      <c r="C59" s="54"/>
      <c r="D59" s="68"/>
      <c r="E59" s="54"/>
      <c r="F59" s="68"/>
    </row>
    <row r="60" spans="1:6" ht="34.9" customHeight="1" x14ac:dyDescent="0.3">
      <c r="B60" s="53" t="s">
        <v>18</v>
      </c>
      <c r="C60" s="54"/>
      <c r="D60" s="55"/>
      <c r="E60" s="54"/>
      <c r="F60" s="55"/>
    </row>
    <row r="61" spans="1:6" ht="34.9" customHeight="1" thickBot="1" x14ac:dyDescent="0.35">
      <c r="B61" s="70"/>
      <c r="C61" s="86" t="s">
        <v>35</v>
      </c>
      <c r="D61" s="86"/>
      <c r="E61" s="87"/>
      <c r="F61" s="88">
        <f>SUM(F56:F60)</f>
        <v>1200000</v>
      </c>
    </row>
    <row r="62" spans="1:6" ht="34.9" customHeight="1" thickBot="1" x14ac:dyDescent="0.35">
      <c r="B62" s="60"/>
      <c r="C62" s="61"/>
      <c r="D62" s="62"/>
      <c r="E62" s="61"/>
      <c r="F62" s="63"/>
    </row>
    <row r="63" spans="1:6" ht="34.9" customHeight="1" thickBot="1" x14ac:dyDescent="0.35">
      <c r="B63" s="89"/>
      <c r="C63" s="90" t="s">
        <v>40</v>
      </c>
      <c r="D63" s="90"/>
      <c r="E63" s="91"/>
      <c r="F63" s="92">
        <f>F19+F25+F32+F41+F48+F53+F61</f>
        <v>15665000</v>
      </c>
    </row>
    <row r="64" spans="1:6" ht="34.9" customHeight="1" thickBot="1" x14ac:dyDescent="0.35">
      <c r="B64" s="93"/>
      <c r="C64" s="94"/>
      <c r="D64" s="95"/>
      <c r="E64" s="96"/>
      <c r="F64" s="97"/>
    </row>
    <row r="65" spans="2:6" ht="45.4" customHeight="1" thickBot="1" x14ac:dyDescent="0.35">
      <c r="B65" s="46" t="s">
        <v>19</v>
      </c>
      <c r="C65" s="47"/>
      <c r="D65" s="47"/>
      <c r="E65" s="47"/>
      <c r="F65" s="48"/>
    </row>
    <row r="66" spans="2:6" ht="202.15" customHeight="1" thickBot="1" x14ac:dyDescent="0.35">
      <c r="B66" s="98" t="s">
        <v>39</v>
      </c>
      <c r="C66" s="99"/>
      <c r="D66" s="100"/>
      <c r="E66" s="101"/>
      <c r="F66" s="102">
        <v>2700000</v>
      </c>
    </row>
    <row r="67" spans="2:6" ht="43.15" customHeight="1" thickBot="1" x14ac:dyDescent="0.35">
      <c r="B67" s="118"/>
      <c r="C67" s="119"/>
      <c r="D67" s="120"/>
      <c r="E67" s="103">
        <f>F63+F66</f>
        <v>18365000</v>
      </c>
      <c r="F67" s="104"/>
    </row>
    <row r="68" spans="2:6" ht="46.15" customHeight="1" thickBot="1" x14ac:dyDescent="0.35">
      <c r="D68" s="105" t="s">
        <v>11</v>
      </c>
      <c r="E68" s="106"/>
      <c r="F68" s="107">
        <f>F66*18%</f>
        <v>486000</v>
      </c>
    </row>
    <row r="69" spans="2:6" ht="46.9" customHeight="1" thickBot="1" x14ac:dyDescent="0.35">
      <c r="D69" s="108" t="s">
        <v>12</v>
      </c>
      <c r="E69" s="116">
        <f>SUM(E67:F68)</f>
        <v>18851000</v>
      </c>
      <c r="F69" s="117"/>
    </row>
    <row r="80" spans="2:6" x14ac:dyDescent="0.3">
      <c r="E80" s="2" t="s">
        <v>13</v>
      </c>
    </row>
  </sheetData>
  <mergeCells count="3">
    <mergeCell ref="B34:F34"/>
    <mergeCell ref="B67:D67"/>
    <mergeCell ref="E69:F6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zoomScale="53" zoomScaleNormal="53" workbookViewId="0">
      <selection activeCell="B17" sqref="B17"/>
    </sheetView>
  </sheetViews>
  <sheetFormatPr baseColWidth="10" defaultColWidth="11.42578125" defaultRowHeight="18.75" x14ac:dyDescent="0.3"/>
  <cols>
    <col min="1" max="1" width="1.28515625" style="3" customWidth="1"/>
    <col min="2" max="2" width="118.7109375" style="1" customWidth="1"/>
    <col min="3" max="3" width="36.5703125" style="2" customWidth="1"/>
    <col min="4" max="4" width="59.28515625" style="3" customWidth="1"/>
    <col min="5" max="5" width="36.28515625" style="2" customWidth="1"/>
    <col min="6" max="6" width="53.7109375" style="3" customWidth="1"/>
    <col min="7" max="16384" width="11.42578125" style="3"/>
  </cols>
  <sheetData>
    <row r="1" spans="2:7" ht="6.4" customHeight="1" thickBot="1" x14ac:dyDescent="0.35"/>
    <row r="2" spans="2:7" ht="14.65" customHeight="1" x14ac:dyDescent="0.3">
      <c r="B2" s="4"/>
      <c r="C2" s="5"/>
      <c r="D2" s="5"/>
      <c r="E2" s="5"/>
      <c r="F2" s="6"/>
    </row>
    <row r="3" spans="2:7" ht="14.65" customHeight="1" x14ac:dyDescent="0.3">
      <c r="B3" s="7"/>
      <c r="C3" s="3"/>
      <c r="E3" s="3"/>
      <c r="F3" s="8"/>
    </row>
    <row r="4" spans="2:7" ht="14.65" customHeight="1" x14ac:dyDescent="0.3">
      <c r="B4" s="7"/>
      <c r="C4" s="3"/>
      <c r="E4" s="3"/>
      <c r="F4" s="8"/>
    </row>
    <row r="5" spans="2:7" ht="14.65" customHeight="1" x14ac:dyDescent="0.3">
      <c r="B5" s="7"/>
      <c r="C5" s="3"/>
      <c r="E5" s="3"/>
      <c r="F5" s="8"/>
    </row>
    <row r="6" spans="2:7" ht="105" customHeight="1" thickBot="1" x14ac:dyDescent="0.35">
      <c r="B6" s="9"/>
      <c r="C6" s="10"/>
      <c r="D6" s="10"/>
      <c r="E6" s="10"/>
      <c r="F6" s="11"/>
    </row>
    <row r="7" spans="2:7" ht="63" customHeight="1" x14ac:dyDescent="0.3">
      <c r="B7" s="12"/>
      <c r="C7" s="13"/>
      <c r="D7" s="14" t="s">
        <v>0</v>
      </c>
      <c r="E7" s="13"/>
      <c r="F7" s="15"/>
      <c r="G7" s="16"/>
    </row>
    <row r="8" spans="2:7" ht="42.6" customHeight="1" thickBot="1" x14ac:dyDescent="0.35">
      <c r="B8" s="17"/>
      <c r="C8" s="18"/>
      <c r="D8" s="19" t="s">
        <v>22</v>
      </c>
      <c r="E8" s="18"/>
      <c r="F8" s="20"/>
      <c r="G8" s="16"/>
    </row>
    <row r="9" spans="2:7" ht="32.65" customHeight="1" x14ac:dyDescent="0.3">
      <c r="B9" s="21" t="s">
        <v>38</v>
      </c>
      <c r="C9" s="22">
        <f ca="1">TODAY()</f>
        <v>46149</v>
      </c>
      <c r="E9" s="23" t="s">
        <v>23</v>
      </c>
      <c r="F9" s="24" t="s">
        <v>54</v>
      </c>
    </row>
    <row r="10" spans="2:7" ht="29.65" customHeight="1" x14ac:dyDescent="0.3">
      <c r="B10" s="25" t="s">
        <v>14</v>
      </c>
      <c r="C10" s="26" t="s">
        <v>48</v>
      </c>
      <c r="D10" s="27" t="s">
        <v>24</v>
      </c>
      <c r="E10" s="28" t="s">
        <v>26</v>
      </c>
      <c r="F10" s="29">
        <v>3</v>
      </c>
      <c r="G10" s="30"/>
    </row>
    <row r="11" spans="2:7" ht="30.4" customHeight="1" thickBot="1" x14ac:dyDescent="0.35">
      <c r="B11" s="31" t="s">
        <v>25</v>
      </c>
      <c r="C11" s="32">
        <v>39</v>
      </c>
      <c r="E11" s="33" t="s">
        <v>27</v>
      </c>
      <c r="F11" s="34">
        <v>2</v>
      </c>
      <c r="G11" s="30"/>
    </row>
    <row r="12" spans="2:7" x14ac:dyDescent="0.3">
      <c r="B12" s="35"/>
      <c r="C12" s="36"/>
      <c r="F12" s="37"/>
      <c r="G12" s="1"/>
    </row>
    <row r="13" spans="2:7" ht="17.649999999999999" customHeight="1" x14ac:dyDescent="0.3">
      <c r="B13" s="38"/>
      <c r="C13" s="16"/>
      <c r="D13" s="16"/>
      <c r="E13" s="16"/>
      <c r="F13" s="39"/>
    </row>
    <row r="14" spans="2:7" ht="24.4" customHeight="1" thickBot="1" x14ac:dyDescent="0.35">
      <c r="B14" s="40"/>
      <c r="C14" s="41"/>
      <c r="D14" s="41"/>
      <c r="E14" s="41"/>
      <c r="F14" s="42"/>
    </row>
    <row r="15" spans="2:7" s="45" customFormat="1" ht="26.65" customHeight="1" thickBot="1" x14ac:dyDescent="0.3">
      <c r="B15" s="43" t="s">
        <v>1</v>
      </c>
      <c r="C15" s="44" t="s">
        <v>2</v>
      </c>
      <c r="D15" s="43" t="s">
        <v>3</v>
      </c>
      <c r="E15" s="44" t="s">
        <v>28</v>
      </c>
      <c r="F15" s="43" t="s">
        <v>29</v>
      </c>
    </row>
    <row r="16" spans="2:7" s="45" customFormat="1" ht="34.9" customHeight="1" thickBot="1" x14ac:dyDescent="0.3">
      <c r="B16" s="46" t="s">
        <v>4</v>
      </c>
      <c r="C16" s="47"/>
      <c r="D16" s="47"/>
      <c r="E16" s="47"/>
      <c r="F16" s="48"/>
    </row>
    <row r="17" spans="2:6" ht="64.900000000000006" customHeight="1" x14ac:dyDescent="0.3">
      <c r="B17" s="49" t="s">
        <v>60</v>
      </c>
      <c r="C17" s="50">
        <v>1</v>
      </c>
      <c r="D17" s="51">
        <v>200000</v>
      </c>
      <c r="E17" s="52">
        <v>3</v>
      </c>
      <c r="F17" s="51">
        <f>C17*D17*E17</f>
        <v>600000</v>
      </c>
    </row>
    <row r="18" spans="2:6" ht="34.9" customHeight="1" x14ac:dyDescent="0.3">
      <c r="B18" s="53" t="s">
        <v>18</v>
      </c>
      <c r="C18" s="54"/>
      <c r="D18" s="55"/>
      <c r="E18" s="54"/>
      <c r="F18" s="55"/>
    </row>
    <row r="19" spans="2:6" ht="34.9" customHeight="1" thickBot="1" x14ac:dyDescent="0.35">
      <c r="B19" s="56"/>
      <c r="C19" s="57" t="s">
        <v>31</v>
      </c>
      <c r="D19" s="57"/>
      <c r="E19" s="58"/>
      <c r="F19" s="59">
        <f>SUM(F17:F18)</f>
        <v>600000</v>
      </c>
    </row>
    <row r="20" spans="2:6" ht="34.9" customHeight="1" thickBot="1" x14ac:dyDescent="0.35">
      <c r="B20" s="60"/>
      <c r="C20" s="61"/>
      <c r="D20" s="62"/>
      <c r="E20" s="61"/>
      <c r="F20" s="63"/>
    </row>
    <row r="21" spans="2:6" ht="34.9" customHeight="1" thickBot="1" x14ac:dyDescent="0.35">
      <c r="B21" s="64" t="s">
        <v>20</v>
      </c>
      <c r="C21" s="65"/>
      <c r="D21" s="65"/>
      <c r="E21" s="65"/>
      <c r="F21" s="66"/>
    </row>
    <row r="22" spans="2:6" ht="34.9" customHeight="1" x14ac:dyDescent="0.3">
      <c r="B22" s="67" t="s">
        <v>55</v>
      </c>
      <c r="C22" s="50">
        <v>39</v>
      </c>
      <c r="D22" s="51">
        <v>50000</v>
      </c>
      <c r="E22" s="52">
        <v>2</v>
      </c>
      <c r="F22" s="51">
        <f>C22*D22*E22</f>
        <v>3900000</v>
      </c>
    </row>
    <row r="23" spans="2:6" ht="34.9" customHeight="1" x14ac:dyDescent="0.3">
      <c r="B23" s="53" t="s">
        <v>5</v>
      </c>
      <c r="C23" s="54"/>
      <c r="D23" s="68"/>
      <c r="E23" s="69"/>
      <c r="F23" s="68">
        <f>C23*D23*E23</f>
        <v>0</v>
      </c>
    </row>
    <row r="24" spans="2:6" ht="34.9" customHeight="1" x14ac:dyDescent="0.3">
      <c r="B24" s="53" t="s">
        <v>18</v>
      </c>
      <c r="C24" s="54"/>
      <c r="D24" s="55"/>
      <c r="E24" s="54"/>
      <c r="F24" s="55"/>
    </row>
    <row r="25" spans="2:6" ht="34.9" customHeight="1" thickBot="1" x14ac:dyDescent="0.35">
      <c r="B25" s="56"/>
      <c r="C25" s="57" t="s">
        <v>30</v>
      </c>
      <c r="D25" s="57"/>
      <c r="E25" s="58"/>
      <c r="F25" s="59">
        <f>SUM(F22:F24)</f>
        <v>3900000</v>
      </c>
    </row>
    <row r="26" spans="2:6" ht="34.9" customHeight="1" thickBot="1" x14ac:dyDescent="0.35">
      <c r="B26" s="60"/>
      <c r="C26" s="61"/>
      <c r="D26" s="62"/>
      <c r="E26" s="61"/>
      <c r="F26" s="63"/>
    </row>
    <row r="27" spans="2:6" ht="34.9" customHeight="1" thickBot="1" x14ac:dyDescent="0.35">
      <c r="B27" s="46" t="s">
        <v>6</v>
      </c>
      <c r="C27" s="47"/>
      <c r="D27" s="47"/>
      <c r="E27" s="47"/>
      <c r="F27" s="48"/>
    </row>
    <row r="28" spans="2:6" ht="34.9" customHeight="1" x14ac:dyDescent="0.3">
      <c r="B28" s="67" t="s">
        <v>7</v>
      </c>
      <c r="C28" s="50"/>
      <c r="D28" s="51"/>
      <c r="E28" s="50"/>
      <c r="F28" s="51">
        <f>C28*D28*E28</f>
        <v>0</v>
      </c>
    </row>
    <row r="29" spans="2:6" ht="34.9" customHeight="1" x14ac:dyDescent="0.3">
      <c r="B29" s="53" t="s">
        <v>43</v>
      </c>
      <c r="C29" s="54"/>
      <c r="D29" s="68"/>
      <c r="E29" s="54"/>
      <c r="F29" s="68">
        <f>C29*D29*E29</f>
        <v>0</v>
      </c>
    </row>
    <row r="30" spans="2:6" ht="34.9" customHeight="1" x14ac:dyDescent="0.3">
      <c r="B30" s="53" t="s">
        <v>8</v>
      </c>
      <c r="C30" s="54"/>
      <c r="D30" s="68"/>
      <c r="E30" s="54"/>
      <c r="F30" s="68">
        <f>C30*D30*E30</f>
        <v>0</v>
      </c>
    </row>
    <row r="31" spans="2:6" ht="34.9" customHeight="1" x14ac:dyDescent="0.3">
      <c r="B31" s="53" t="s">
        <v>18</v>
      </c>
      <c r="C31" s="54"/>
      <c r="D31" s="55"/>
      <c r="E31" s="54"/>
      <c r="F31" s="68">
        <f>C31*D31*E31</f>
        <v>0</v>
      </c>
    </row>
    <row r="32" spans="2:6" ht="34.9" customHeight="1" thickBot="1" x14ac:dyDescent="0.35">
      <c r="B32" s="70"/>
      <c r="C32" s="57" t="s">
        <v>32</v>
      </c>
      <c r="D32" s="57"/>
      <c r="E32" s="58"/>
      <c r="F32" s="59">
        <f>SUM(F28:F31)</f>
        <v>0</v>
      </c>
    </row>
    <row r="33" spans="2:6" ht="34.9" customHeight="1" thickBot="1" x14ac:dyDescent="0.35">
      <c r="B33" s="60"/>
      <c r="C33" s="61"/>
      <c r="D33" s="62"/>
      <c r="E33" s="61"/>
      <c r="F33" s="63"/>
    </row>
    <row r="34" spans="2:6" ht="34.9" customHeight="1" thickBot="1" x14ac:dyDescent="0.35">
      <c r="B34" s="113" t="s">
        <v>9</v>
      </c>
      <c r="C34" s="114"/>
      <c r="D34" s="114"/>
      <c r="E34" s="114"/>
      <c r="F34" s="115"/>
    </row>
    <row r="35" spans="2:6" ht="34.9" customHeight="1" x14ac:dyDescent="0.3">
      <c r="B35" s="67" t="s">
        <v>49</v>
      </c>
      <c r="C35" s="52">
        <v>39</v>
      </c>
      <c r="D35" s="51">
        <v>5000</v>
      </c>
      <c r="E35" s="52">
        <v>1</v>
      </c>
      <c r="F35" s="51">
        <f>C35*D35*E35</f>
        <v>195000</v>
      </c>
    </row>
    <row r="36" spans="2:6" ht="34.9" customHeight="1" x14ac:dyDescent="0.3">
      <c r="B36" s="53" t="s">
        <v>57</v>
      </c>
      <c r="C36" s="71">
        <v>39</v>
      </c>
      <c r="D36" s="68">
        <v>20000</v>
      </c>
      <c r="E36" s="69">
        <v>2</v>
      </c>
      <c r="F36" s="68">
        <f t="shared" ref="F36:F40" si="0">C36*D36*E36</f>
        <v>1560000</v>
      </c>
    </row>
    <row r="37" spans="2:6" ht="34.9" customHeight="1" x14ac:dyDescent="0.3">
      <c r="B37" s="53" t="s">
        <v>51</v>
      </c>
      <c r="C37" s="71">
        <v>39</v>
      </c>
      <c r="D37" s="68">
        <v>20000</v>
      </c>
      <c r="E37" s="54">
        <v>2</v>
      </c>
      <c r="F37" s="68">
        <f t="shared" si="0"/>
        <v>1560000</v>
      </c>
    </row>
    <row r="38" spans="2:6" ht="34.9" customHeight="1" x14ac:dyDescent="0.3">
      <c r="B38" s="72" t="s">
        <v>44</v>
      </c>
      <c r="C38" s="71">
        <v>39</v>
      </c>
      <c r="D38" s="68">
        <v>5000</v>
      </c>
      <c r="E38" s="69">
        <v>2</v>
      </c>
      <c r="F38" s="68">
        <f t="shared" si="0"/>
        <v>390000</v>
      </c>
    </row>
    <row r="39" spans="2:6" ht="57" customHeight="1" x14ac:dyDescent="0.3">
      <c r="B39" s="72" t="s">
        <v>36</v>
      </c>
      <c r="C39" s="54"/>
      <c r="D39" s="68"/>
      <c r="E39" s="54"/>
      <c r="F39" s="68">
        <f t="shared" si="0"/>
        <v>0</v>
      </c>
    </row>
    <row r="40" spans="2:6" ht="34.9" customHeight="1" x14ac:dyDescent="0.3">
      <c r="B40" s="53" t="s">
        <v>18</v>
      </c>
      <c r="C40" s="54"/>
      <c r="D40" s="55"/>
      <c r="E40" s="54"/>
      <c r="F40" s="68">
        <f t="shared" si="0"/>
        <v>0</v>
      </c>
    </row>
    <row r="41" spans="2:6" ht="34.9" customHeight="1" thickBot="1" x14ac:dyDescent="0.35">
      <c r="B41" s="70"/>
      <c r="C41" s="57" t="s">
        <v>33</v>
      </c>
      <c r="D41" s="57"/>
      <c r="E41" s="58"/>
      <c r="F41" s="59">
        <f>SUM(F35:F40)</f>
        <v>3705000</v>
      </c>
    </row>
    <row r="42" spans="2:6" ht="34.9" customHeight="1" thickBot="1" x14ac:dyDescent="0.35">
      <c r="B42" s="60"/>
      <c r="C42" s="61"/>
      <c r="D42" s="62"/>
      <c r="E42" s="61"/>
      <c r="F42" s="63"/>
    </row>
    <row r="43" spans="2:6" ht="34.9" customHeight="1" thickBot="1" x14ac:dyDescent="0.35">
      <c r="B43" s="46" t="s">
        <v>21</v>
      </c>
      <c r="C43" s="47"/>
      <c r="D43" s="47"/>
      <c r="E43" s="47"/>
      <c r="F43" s="48"/>
    </row>
    <row r="44" spans="2:6" ht="34.9" customHeight="1" x14ac:dyDescent="0.3">
      <c r="B44" s="73" t="s">
        <v>10</v>
      </c>
      <c r="C44" s="74">
        <v>1</v>
      </c>
      <c r="D44" s="75">
        <v>150000</v>
      </c>
      <c r="E44" s="71">
        <v>2</v>
      </c>
      <c r="F44" s="75">
        <f>C44*D44*E44</f>
        <v>300000</v>
      </c>
    </row>
    <row r="45" spans="2:6" ht="34.9" customHeight="1" x14ac:dyDescent="0.3">
      <c r="B45" s="53" t="s">
        <v>15</v>
      </c>
      <c r="C45" s="54">
        <v>1</v>
      </c>
      <c r="D45" s="68">
        <v>200000</v>
      </c>
      <c r="E45" s="69">
        <v>2</v>
      </c>
      <c r="F45" s="68">
        <f>C45*D45*E45</f>
        <v>400000</v>
      </c>
    </row>
    <row r="46" spans="2:6" ht="34.9" customHeight="1" x14ac:dyDescent="0.3">
      <c r="B46" s="53" t="s">
        <v>46</v>
      </c>
      <c r="C46" s="54">
        <v>1</v>
      </c>
      <c r="D46" s="68">
        <v>100000</v>
      </c>
      <c r="E46" s="69">
        <v>1</v>
      </c>
      <c r="F46" s="68">
        <f>C46*D46*E46</f>
        <v>100000</v>
      </c>
    </row>
    <row r="47" spans="2:6" ht="34.9" customHeight="1" x14ac:dyDescent="0.3">
      <c r="B47" s="53" t="s">
        <v>18</v>
      </c>
      <c r="C47" s="54"/>
      <c r="D47" s="55"/>
      <c r="E47" s="54"/>
      <c r="F47" s="55"/>
    </row>
    <row r="48" spans="2:6" ht="34.9" customHeight="1" thickBot="1" x14ac:dyDescent="0.35">
      <c r="B48" s="70"/>
      <c r="C48" s="57" t="s">
        <v>37</v>
      </c>
      <c r="D48" s="57"/>
      <c r="E48" s="58"/>
      <c r="F48" s="76">
        <f>SUM(F44:F46)</f>
        <v>800000</v>
      </c>
    </row>
    <row r="49" spans="1:6" ht="34.9" customHeight="1" thickBot="1" x14ac:dyDescent="0.35">
      <c r="B49" s="77"/>
      <c r="C49" s="78"/>
      <c r="D49" s="78"/>
      <c r="E49" s="78"/>
      <c r="F49" s="79"/>
    </row>
    <row r="50" spans="1:6" ht="34.9" customHeight="1" thickBot="1" x14ac:dyDescent="0.35">
      <c r="B50" s="64" t="s">
        <v>16</v>
      </c>
      <c r="C50" s="65"/>
      <c r="D50" s="65"/>
      <c r="E50" s="65"/>
      <c r="F50" s="66"/>
    </row>
    <row r="51" spans="1:6" ht="49.15" customHeight="1" thickBot="1" x14ac:dyDescent="0.35">
      <c r="B51" s="49" t="s">
        <v>56</v>
      </c>
      <c r="C51" s="109">
        <v>39</v>
      </c>
      <c r="D51" s="110">
        <v>15000</v>
      </c>
      <c r="E51" s="111">
        <v>1</v>
      </c>
      <c r="F51" s="112">
        <f>C51*D51*E51</f>
        <v>585000</v>
      </c>
    </row>
    <row r="52" spans="1:6" ht="34.9" customHeight="1" x14ac:dyDescent="0.3">
      <c r="B52" s="67"/>
      <c r="C52" s="81"/>
      <c r="D52" s="82"/>
      <c r="E52" s="83"/>
      <c r="F52" s="80"/>
    </row>
    <row r="53" spans="1:6" ht="34.9" customHeight="1" thickBot="1" x14ac:dyDescent="0.35">
      <c r="B53" s="84"/>
      <c r="C53" s="57" t="s">
        <v>34</v>
      </c>
      <c r="D53" s="57"/>
      <c r="E53" s="58"/>
      <c r="F53" s="85">
        <f>SUM(F51:F52)</f>
        <v>585000</v>
      </c>
    </row>
    <row r="54" spans="1:6" ht="34.9" customHeight="1" thickBot="1" x14ac:dyDescent="0.35">
      <c r="A54" s="3" t="s">
        <v>13</v>
      </c>
      <c r="B54" s="60"/>
      <c r="C54" s="61"/>
      <c r="D54" s="62"/>
      <c r="E54" s="61"/>
      <c r="F54" s="63"/>
    </row>
    <row r="55" spans="1:6" ht="34.9" customHeight="1" thickBot="1" x14ac:dyDescent="0.35">
      <c r="B55" s="64" t="s">
        <v>17</v>
      </c>
      <c r="C55" s="65"/>
      <c r="D55" s="65"/>
      <c r="E55" s="65"/>
      <c r="F55" s="66"/>
    </row>
    <row r="56" spans="1:6" ht="34.9" customHeight="1" x14ac:dyDescent="0.3">
      <c r="B56" s="73" t="s">
        <v>52</v>
      </c>
      <c r="C56" s="74">
        <v>1</v>
      </c>
      <c r="D56" s="75">
        <v>200000</v>
      </c>
      <c r="E56" s="74">
        <v>1</v>
      </c>
      <c r="F56" s="75">
        <f t="shared" ref="F56:F58" si="1">C56*D56*E56</f>
        <v>200000</v>
      </c>
    </row>
    <row r="57" spans="1:6" ht="34.9" customHeight="1" x14ac:dyDescent="0.3">
      <c r="B57" s="53" t="s">
        <v>41</v>
      </c>
      <c r="C57" s="54">
        <v>1</v>
      </c>
      <c r="D57" s="68">
        <v>500000</v>
      </c>
      <c r="E57" s="54">
        <v>1</v>
      </c>
      <c r="F57" s="68">
        <f>C57*D57*E57</f>
        <v>500000</v>
      </c>
    </row>
    <row r="58" spans="1:6" ht="34.9" customHeight="1" x14ac:dyDescent="0.3">
      <c r="B58" s="53" t="s">
        <v>42</v>
      </c>
      <c r="C58" s="54">
        <v>1</v>
      </c>
      <c r="D58" s="68">
        <v>500000</v>
      </c>
      <c r="E58" s="54">
        <v>1</v>
      </c>
      <c r="F58" s="68">
        <f t="shared" si="1"/>
        <v>500000</v>
      </c>
    </row>
    <row r="59" spans="1:6" ht="34.9" customHeight="1" x14ac:dyDescent="0.3">
      <c r="B59" s="53" t="s">
        <v>18</v>
      </c>
      <c r="C59" s="54"/>
      <c r="D59" s="68"/>
      <c r="E59" s="54"/>
      <c r="F59" s="68"/>
    </row>
    <row r="60" spans="1:6" ht="34.9" customHeight="1" x14ac:dyDescent="0.3">
      <c r="B60" s="53" t="s">
        <v>18</v>
      </c>
      <c r="C60" s="54"/>
      <c r="D60" s="55"/>
      <c r="E60" s="54"/>
      <c r="F60" s="55"/>
    </row>
    <row r="61" spans="1:6" ht="34.9" customHeight="1" thickBot="1" x14ac:dyDescent="0.35">
      <c r="B61" s="70"/>
      <c r="C61" s="86" t="s">
        <v>35</v>
      </c>
      <c r="D61" s="86"/>
      <c r="E61" s="87"/>
      <c r="F61" s="88">
        <f>SUM(F56:F60)</f>
        <v>1200000</v>
      </c>
    </row>
    <row r="62" spans="1:6" ht="34.9" customHeight="1" thickBot="1" x14ac:dyDescent="0.35">
      <c r="B62" s="60"/>
      <c r="C62" s="61"/>
      <c r="D62" s="62"/>
      <c r="E62" s="61"/>
      <c r="F62" s="63"/>
    </row>
    <row r="63" spans="1:6" ht="34.9" customHeight="1" thickBot="1" x14ac:dyDescent="0.35">
      <c r="B63" s="89"/>
      <c r="C63" s="90" t="s">
        <v>40</v>
      </c>
      <c r="D63" s="90"/>
      <c r="E63" s="91"/>
      <c r="F63" s="92">
        <f>F19+F25+F32+F41+F48+F53+F61</f>
        <v>10790000</v>
      </c>
    </row>
    <row r="64" spans="1:6" ht="34.9" customHeight="1" thickBot="1" x14ac:dyDescent="0.35">
      <c r="B64" s="93"/>
      <c r="C64" s="94"/>
      <c r="D64" s="95"/>
      <c r="E64" s="96"/>
      <c r="F64" s="97"/>
    </row>
    <row r="65" spans="2:6" ht="45.4" customHeight="1" thickBot="1" x14ac:dyDescent="0.35">
      <c r="B65" s="46" t="s">
        <v>19</v>
      </c>
      <c r="C65" s="47"/>
      <c r="D65" s="47"/>
      <c r="E65" s="47"/>
      <c r="F65" s="48"/>
    </row>
    <row r="66" spans="2:6" ht="202.15" customHeight="1" thickBot="1" x14ac:dyDescent="0.35">
      <c r="B66" s="98" t="s">
        <v>39</v>
      </c>
      <c r="C66" s="99"/>
      <c r="D66" s="100"/>
      <c r="E66" s="101"/>
      <c r="F66" s="102">
        <v>2700000</v>
      </c>
    </row>
    <row r="67" spans="2:6" ht="43.15" customHeight="1" thickBot="1" x14ac:dyDescent="0.35">
      <c r="B67" s="118"/>
      <c r="C67" s="119"/>
      <c r="D67" s="120"/>
      <c r="E67" s="103">
        <f>F63+F66</f>
        <v>13490000</v>
      </c>
      <c r="F67" s="104"/>
    </row>
    <row r="68" spans="2:6" ht="46.15" customHeight="1" thickBot="1" x14ac:dyDescent="0.35">
      <c r="D68" s="105" t="s">
        <v>11</v>
      </c>
      <c r="E68" s="106"/>
      <c r="F68" s="107">
        <f>F66*18%</f>
        <v>486000</v>
      </c>
    </row>
    <row r="69" spans="2:6" ht="46.9" customHeight="1" thickBot="1" x14ac:dyDescent="0.35">
      <c r="D69" s="108" t="s">
        <v>12</v>
      </c>
      <c r="E69" s="116">
        <f>SUM(E67:F68)</f>
        <v>13976000</v>
      </c>
      <c r="F69" s="117"/>
    </row>
    <row r="80" spans="2:6" x14ac:dyDescent="0.3">
      <c r="E80" s="2" t="s">
        <v>13</v>
      </c>
    </row>
  </sheetData>
  <mergeCells count="3">
    <mergeCell ref="B34:F34"/>
    <mergeCell ref="B67:D67"/>
    <mergeCell ref="E69:F6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opLeftCell="A16" zoomScale="55" zoomScaleNormal="55" workbookViewId="0">
      <selection activeCell="B17" sqref="B17"/>
    </sheetView>
  </sheetViews>
  <sheetFormatPr baseColWidth="10" defaultColWidth="11.42578125" defaultRowHeight="18.75" x14ac:dyDescent="0.3"/>
  <cols>
    <col min="1" max="1" width="1.28515625" style="3" customWidth="1"/>
    <col min="2" max="2" width="118.7109375" style="1" customWidth="1"/>
    <col min="3" max="3" width="36.5703125" style="2" customWidth="1"/>
    <col min="4" max="4" width="59.28515625" style="3" customWidth="1"/>
    <col min="5" max="5" width="36.28515625" style="2" customWidth="1"/>
    <col min="6" max="6" width="53.7109375" style="3" customWidth="1"/>
    <col min="7" max="16384" width="11.42578125" style="3"/>
  </cols>
  <sheetData>
    <row r="1" spans="2:7" ht="6.4" customHeight="1" thickBot="1" x14ac:dyDescent="0.35"/>
    <row r="2" spans="2:7" ht="14.65" customHeight="1" x14ac:dyDescent="0.3">
      <c r="B2" s="4"/>
      <c r="C2" s="5"/>
      <c r="D2" s="5"/>
      <c r="E2" s="5"/>
      <c r="F2" s="6"/>
    </row>
    <row r="3" spans="2:7" ht="14.65" customHeight="1" x14ac:dyDescent="0.3">
      <c r="B3" s="7"/>
      <c r="C3" s="3"/>
      <c r="E3" s="3"/>
      <c r="F3" s="8"/>
    </row>
    <row r="4" spans="2:7" ht="14.65" customHeight="1" x14ac:dyDescent="0.3">
      <c r="B4" s="7"/>
      <c r="C4" s="3"/>
      <c r="E4" s="3"/>
      <c r="F4" s="8"/>
    </row>
    <row r="5" spans="2:7" ht="14.65" customHeight="1" x14ac:dyDescent="0.3">
      <c r="B5" s="7"/>
      <c r="C5" s="3"/>
      <c r="E5" s="3"/>
      <c r="F5" s="8"/>
    </row>
    <row r="6" spans="2:7" ht="105" customHeight="1" thickBot="1" x14ac:dyDescent="0.35">
      <c r="B6" s="9"/>
      <c r="C6" s="10"/>
      <c r="D6" s="10"/>
      <c r="E6" s="10"/>
      <c r="F6" s="11"/>
    </row>
    <row r="7" spans="2:7" ht="63" customHeight="1" x14ac:dyDescent="0.3">
      <c r="B7" s="12"/>
      <c r="C7" s="13"/>
      <c r="D7" s="14" t="s">
        <v>0</v>
      </c>
      <c r="E7" s="13"/>
      <c r="F7" s="15"/>
      <c r="G7" s="16"/>
    </row>
    <row r="8" spans="2:7" ht="42.6" customHeight="1" thickBot="1" x14ac:dyDescent="0.35">
      <c r="B8" s="17"/>
      <c r="C8" s="18"/>
      <c r="D8" s="19" t="s">
        <v>22</v>
      </c>
      <c r="E8" s="18"/>
      <c r="F8" s="20"/>
      <c r="G8" s="16"/>
    </row>
    <row r="9" spans="2:7" ht="32.65" customHeight="1" x14ac:dyDescent="0.3">
      <c r="B9" s="21" t="s">
        <v>38</v>
      </c>
      <c r="C9" s="22">
        <f ca="1">TODAY()</f>
        <v>46149</v>
      </c>
      <c r="E9" s="23" t="s">
        <v>23</v>
      </c>
      <c r="F9" s="24" t="s">
        <v>54</v>
      </c>
    </row>
    <row r="10" spans="2:7" ht="29.65" customHeight="1" x14ac:dyDescent="0.3">
      <c r="B10" s="25" t="s">
        <v>14</v>
      </c>
      <c r="C10" s="26" t="s">
        <v>48</v>
      </c>
      <c r="D10" s="27" t="s">
        <v>24</v>
      </c>
      <c r="E10" s="28" t="s">
        <v>26</v>
      </c>
      <c r="F10" s="29">
        <v>3</v>
      </c>
      <c r="G10" s="30"/>
    </row>
    <row r="11" spans="2:7" ht="30.4" customHeight="1" thickBot="1" x14ac:dyDescent="0.35">
      <c r="B11" s="31" t="s">
        <v>25</v>
      </c>
      <c r="C11" s="32">
        <v>39</v>
      </c>
      <c r="E11" s="33" t="s">
        <v>27</v>
      </c>
      <c r="F11" s="34">
        <v>2</v>
      </c>
      <c r="G11" s="30"/>
    </row>
    <row r="12" spans="2:7" x14ac:dyDescent="0.3">
      <c r="B12" s="35"/>
      <c r="C12" s="36"/>
      <c r="F12" s="37"/>
      <c r="G12" s="1"/>
    </row>
    <row r="13" spans="2:7" ht="17.649999999999999" customHeight="1" x14ac:dyDescent="0.3">
      <c r="B13" s="38"/>
      <c r="C13" s="16"/>
      <c r="D13" s="16"/>
      <c r="E13" s="16"/>
      <c r="F13" s="39"/>
    </row>
    <row r="14" spans="2:7" ht="24.4" customHeight="1" thickBot="1" x14ac:dyDescent="0.35">
      <c r="B14" s="40"/>
      <c r="C14" s="41"/>
      <c r="D14" s="41"/>
      <c r="E14" s="41"/>
      <c r="F14" s="42"/>
    </row>
    <row r="15" spans="2:7" s="45" customFormat="1" ht="26.65" customHeight="1" thickBot="1" x14ac:dyDescent="0.3">
      <c r="B15" s="43" t="s">
        <v>1</v>
      </c>
      <c r="C15" s="44" t="s">
        <v>2</v>
      </c>
      <c r="D15" s="43" t="s">
        <v>3</v>
      </c>
      <c r="E15" s="44" t="s">
        <v>28</v>
      </c>
      <c r="F15" s="43" t="s">
        <v>29</v>
      </c>
    </row>
    <row r="16" spans="2:7" s="45" customFormat="1" ht="34.9" customHeight="1" thickBot="1" x14ac:dyDescent="0.3">
      <c r="B16" s="46" t="s">
        <v>4</v>
      </c>
      <c r="C16" s="47"/>
      <c r="D16" s="47"/>
      <c r="E16" s="47"/>
      <c r="F16" s="48"/>
    </row>
    <row r="17" spans="2:6" ht="64.900000000000006" customHeight="1" x14ac:dyDescent="0.3">
      <c r="B17" s="49" t="s">
        <v>60</v>
      </c>
      <c r="C17" s="50">
        <v>1</v>
      </c>
      <c r="D17" s="51">
        <v>200000</v>
      </c>
      <c r="E17" s="52">
        <v>3</v>
      </c>
      <c r="F17" s="51">
        <f>C17*D17*E17</f>
        <v>600000</v>
      </c>
    </row>
    <row r="18" spans="2:6" ht="34.9" customHeight="1" x14ac:dyDescent="0.3">
      <c r="B18" s="53" t="s">
        <v>18</v>
      </c>
      <c r="C18" s="54"/>
      <c r="D18" s="55"/>
      <c r="E18" s="54"/>
      <c r="F18" s="55"/>
    </row>
    <row r="19" spans="2:6" ht="34.9" customHeight="1" thickBot="1" x14ac:dyDescent="0.35">
      <c r="B19" s="56"/>
      <c r="C19" s="57" t="s">
        <v>31</v>
      </c>
      <c r="D19" s="57"/>
      <c r="E19" s="58"/>
      <c r="F19" s="59">
        <f>SUM(F17:F18)</f>
        <v>600000</v>
      </c>
    </row>
    <row r="20" spans="2:6" ht="34.9" customHeight="1" thickBot="1" x14ac:dyDescent="0.35">
      <c r="B20" s="60"/>
      <c r="C20" s="61"/>
      <c r="D20" s="62"/>
      <c r="E20" s="61"/>
      <c r="F20" s="63"/>
    </row>
    <row r="21" spans="2:6" ht="34.9" customHeight="1" thickBot="1" x14ac:dyDescent="0.35">
      <c r="B21" s="64" t="s">
        <v>20</v>
      </c>
      <c r="C21" s="65"/>
      <c r="D21" s="65"/>
      <c r="E21" s="65"/>
      <c r="F21" s="66"/>
    </row>
    <row r="22" spans="2:6" ht="34.9" customHeight="1" x14ac:dyDescent="0.3">
      <c r="B22" s="67" t="s">
        <v>55</v>
      </c>
      <c r="C22" s="50">
        <v>39</v>
      </c>
      <c r="D22" s="51">
        <v>50000</v>
      </c>
      <c r="E22" s="52">
        <v>2</v>
      </c>
      <c r="F22" s="51">
        <f>C22*D22*E22</f>
        <v>3900000</v>
      </c>
    </row>
    <row r="23" spans="2:6" ht="34.9" customHeight="1" x14ac:dyDescent="0.3">
      <c r="B23" s="53" t="s">
        <v>5</v>
      </c>
      <c r="C23" s="54"/>
      <c r="D23" s="68"/>
      <c r="E23" s="69"/>
      <c r="F23" s="68">
        <f>C23*D23*E23</f>
        <v>0</v>
      </c>
    </row>
    <row r="24" spans="2:6" ht="34.9" customHeight="1" x14ac:dyDescent="0.3">
      <c r="B24" s="53" t="s">
        <v>18</v>
      </c>
      <c r="C24" s="54"/>
      <c r="D24" s="55"/>
      <c r="E24" s="54"/>
      <c r="F24" s="55"/>
    </row>
    <row r="25" spans="2:6" ht="34.9" customHeight="1" thickBot="1" x14ac:dyDescent="0.35">
      <c r="B25" s="56"/>
      <c r="C25" s="57" t="s">
        <v>30</v>
      </c>
      <c r="D25" s="57"/>
      <c r="E25" s="58"/>
      <c r="F25" s="59">
        <f>SUM(F22:F24)</f>
        <v>3900000</v>
      </c>
    </row>
    <row r="26" spans="2:6" ht="34.9" customHeight="1" thickBot="1" x14ac:dyDescent="0.35">
      <c r="B26" s="60"/>
      <c r="C26" s="61"/>
      <c r="D26" s="62"/>
      <c r="E26" s="61"/>
      <c r="F26" s="63"/>
    </row>
    <row r="27" spans="2:6" ht="34.9" customHeight="1" thickBot="1" x14ac:dyDescent="0.35">
      <c r="B27" s="46" t="s">
        <v>6</v>
      </c>
      <c r="C27" s="47"/>
      <c r="D27" s="47"/>
      <c r="E27" s="47"/>
      <c r="F27" s="48"/>
    </row>
    <row r="28" spans="2:6" ht="34.9" customHeight="1" x14ac:dyDescent="0.3">
      <c r="B28" s="67" t="s">
        <v>7</v>
      </c>
      <c r="C28" s="50"/>
      <c r="D28" s="51"/>
      <c r="E28" s="50"/>
      <c r="F28" s="51">
        <f>C28*D28*E28</f>
        <v>0</v>
      </c>
    </row>
    <row r="29" spans="2:6" ht="34.9" customHeight="1" x14ac:dyDescent="0.3">
      <c r="B29" s="53" t="s">
        <v>43</v>
      </c>
      <c r="C29" s="54"/>
      <c r="D29" s="68"/>
      <c r="E29" s="54"/>
      <c r="F29" s="68">
        <f>C29*D29*E29</f>
        <v>0</v>
      </c>
    </row>
    <row r="30" spans="2:6" ht="34.9" customHeight="1" x14ac:dyDescent="0.3">
      <c r="B30" s="53" t="s">
        <v>8</v>
      </c>
      <c r="C30" s="54"/>
      <c r="D30" s="68"/>
      <c r="E30" s="54"/>
      <c r="F30" s="68">
        <f>C30*D30*E30</f>
        <v>0</v>
      </c>
    </row>
    <row r="31" spans="2:6" ht="34.9" customHeight="1" x14ac:dyDescent="0.3">
      <c r="B31" s="53" t="s">
        <v>18</v>
      </c>
      <c r="C31" s="54"/>
      <c r="D31" s="55"/>
      <c r="E31" s="54"/>
      <c r="F31" s="68">
        <f>C31*D31*E31</f>
        <v>0</v>
      </c>
    </row>
    <row r="32" spans="2:6" ht="34.9" customHeight="1" thickBot="1" x14ac:dyDescent="0.35">
      <c r="B32" s="70"/>
      <c r="C32" s="57" t="s">
        <v>32</v>
      </c>
      <c r="D32" s="57"/>
      <c r="E32" s="58"/>
      <c r="F32" s="59">
        <f>SUM(F28:F31)</f>
        <v>0</v>
      </c>
    </row>
    <row r="33" spans="2:6" ht="34.9" customHeight="1" thickBot="1" x14ac:dyDescent="0.35">
      <c r="B33" s="60"/>
      <c r="C33" s="61"/>
      <c r="D33" s="62"/>
      <c r="E33" s="61"/>
      <c r="F33" s="63"/>
    </row>
    <row r="34" spans="2:6" ht="34.9" customHeight="1" thickBot="1" x14ac:dyDescent="0.35">
      <c r="B34" s="113" t="s">
        <v>9</v>
      </c>
      <c r="C34" s="114"/>
      <c r="D34" s="114"/>
      <c r="E34" s="114"/>
      <c r="F34" s="115"/>
    </row>
    <row r="35" spans="2:6" ht="34.9" customHeight="1" x14ac:dyDescent="0.3">
      <c r="B35" s="67" t="s">
        <v>49</v>
      </c>
      <c r="C35" s="52">
        <v>39</v>
      </c>
      <c r="D35" s="51">
        <v>5000</v>
      </c>
      <c r="E35" s="52">
        <v>1</v>
      </c>
      <c r="F35" s="51">
        <f>C35*D35*E35</f>
        <v>195000</v>
      </c>
    </row>
    <row r="36" spans="2:6" ht="34.9" customHeight="1" x14ac:dyDescent="0.3">
      <c r="B36" s="53" t="s">
        <v>57</v>
      </c>
      <c r="C36" s="71">
        <v>39</v>
      </c>
      <c r="D36" s="68">
        <v>20000</v>
      </c>
      <c r="E36" s="69">
        <v>2</v>
      </c>
      <c r="F36" s="68">
        <f t="shared" ref="F36:F40" si="0">C36*D36*E36</f>
        <v>1560000</v>
      </c>
    </row>
    <row r="37" spans="2:6" ht="34.9" customHeight="1" x14ac:dyDescent="0.3">
      <c r="B37" s="53" t="s">
        <v>51</v>
      </c>
      <c r="C37" s="71">
        <v>39</v>
      </c>
      <c r="D37" s="68">
        <v>20000</v>
      </c>
      <c r="E37" s="54">
        <v>2</v>
      </c>
      <c r="F37" s="68">
        <f t="shared" si="0"/>
        <v>1560000</v>
      </c>
    </row>
    <row r="38" spans="2:6" ht="34.9" customHeight="1" x14ac:dyDescent="0.3">
      <c r="B38" s="72" t="s">
        <v>44</v>
      </c>
      <c r="C38" s="71">
        <v>39</v>
      </c>
      <c r="D38" s="68">
        <v>5000</v>
      </c>
      <c r="E38" s="69">
        <v>2</v>
      </c>
      <c r="F38" s="68">
        <f t="shared" si="0"/>
        <v>390000</v>
      </c>
    </row>
    <row r="39" spans="2:6" ht="57" customHeight="1" x14ac:dyDescent="0.3">
      <c r="B39" s="72" t="s">
        <v>36</v>
      </c>
      <c r="C39" s="54"/>
      <c r="D39" s="68"/>
      <c r="E39" s="54"/>
      <c r="F39" s="68">
        <f t="shared" si="0"/>
        <v>0</v>
      </c>
    </row>
    <row r="40" spans="2:6" ht="34.9" customHeight="1" x14ac:dyDescent="0.3">
      <c r="B40" s="53" t="s">
        <v>18</v>
      </c>
      <c r="C40" s="54"/>
      <c r="D40" s="55"/>
      <c r="E40" s="54"/>
      <c r="F40" s="68">
        <f t="shared" si="0"/>
        <v>0</v>
      </c>
    </row>
    <row r="41" spans="2:6" ht="34.9" customHeight="1" thickBot="1" x14ac:dyDescent="0.35">
      <c r="B41" s="70"/>
      <c r="C41" s="57" t="s">
        <v>33</v>
      </c>
      <c r="D41" s="57"/>
      <c r="E41" s="58"/>
      <c r="F41" s="59">
        <f>SUM(F35:F40)</f>
        <v>3705000</v>
      </c>
    </row>
    <row r="42" spans="2:6" ht="34.9" customHeight="1" thickBot="1" x14ac:dyDescent="0.35">
      <c r="B42" s="60"/>
      <c r="C42" s="61"/>
      <c r="D42" s="62"/>
      <c r="E42" s="61"/>
      <c r="F42" s="63"/>
    </row>
    <row r="43" spans="2:6" ht="34.9" customHeight="1" thickBot="1" x14ac:dyDescent="0.35">
      <c r="B43" s="46" t="s">
        <v>21</v>
      </c>
      <c r="C43" s="47"/>
      <c r="D43" s="47"/>
      <c r="E43" s="47"/>
      <c r="F43" s="48"/>
    </row>
    <row r="44" spans="2:6" ht="34.9" customHeight="1" x14ac:dyDescent="0.3">
      <c r="B44" s="73" t="s">
        <v>10</v>
      </c>
      <c r="C44" s="74">
        <v>1</v>
      </c>
      <c r="D44" s="75">
        <v>150000</v>
      </c>
      <c r="E44" s="71">
        <v>2</v>
      </c>
      <c r="F44" s="75">
        <f>C44*D44*E44</f>
        <v>300000</v>
      </c>
    </row>
    <row r="45" spans="2:6" ht="34.9" customHeight="1" x14ac:dyDescent="0.3">
      <c r="B45" s="53" t="s">
        <v>15</v>
      </c>
      <c r="C45" s="54">
        <v>1</v>
      </c>
      <c r="D45" s="68">
        <v>200000</v>
      </c>
      <c r="E45" s="69">
        <v>2</v>
      </c>
      <c r="F45" s="68">
        <f>C45*D45*E45</f>
        <v>400000</v>
      </c>
    </row>
    <row r="46" spans="2:6" ht="34.9" customHeight="1" x14ac:dyDescent="0.3">
      <c r="B46" s="53" t="s">
        <v>46</v>
      </c>
      <c r="C46" s="54">
        <v>1</v>
      </c>
      <c r="D46" s="68">
        <v>100000</v>
      </c>
      <c r="E46" s="69">
        <v>1</v>
      </c>
      <c r="F46" s="68">
        <f>C46*D46*E46</f>
        <v>100000</v>
      </c>
    </row>
    <row r="47" spans="2:6" ht="34.9" customHeight="1" x14ac:dyDescent="0.3">
      <c r="B47" s="53" t="s">
        <v>18</v>
      </c>
      <c r="C47" s="54"/>
      <c r="D47" s="55"/>
      <c r="E47" s="54"/>
      <c r="F47" s="55"/>
    </row>
    <row r="48" spans="2:6" ht="34.9" customHeight="1" thickBot="1" x14ac:dyDescent="0.35">
      <c r="B48" s="70"/>
      <c r="C48" s="57" t="s">
        <v>37</v>
      </c>
      <c r="D48" s="57"/>
      <c r="E48" s="58"/>
      <c r="F48" s="76">
        <f>SUM(F44:F46)</f>
        <v>800000</v>
      </c>
    </row>
    <row r="49" spans="1:6" ht="34.9" customHeight="1" thickBot="1" x14ac:dyDescent="0.35">
      <c r="B49" s="77"/>
      <c r="C49" s="78"/>
      <c r="D49" s="78"/>
      <c r="E49" s="78"/>
      <c r="F49" s="79"/>
    </row>
    <row r="50" spans="1:6" ht="34.9" customHeight="1" thickBot="1" x14ac:dyDescent="0.35">
      <c r="B50" s="64" t="s">
        <v>16</v>
      </c>
      <c r="C50" s="65"/>
      <c r="D50" s="65"/>
      <c r="E50" s="65"/>
      <c r="F50" s="66"/>
    </row>
    <row r="51" spans="1:6" ht="49.15" customHeight="1" thickBot="1" x14ac:dyDescent="0.35">
      <c r="B51" s="49" t="s">
        <v>56</v>
      </c>
      <c r="C51" s="109">
        <v>39</v>
      </c>
      <c r="D51" s="110">
        <v>15000</v>
      </c>
      <c r="E51" s="111">
        <v>1</v>
      </c>
      <c r="F51" s="112">
        <f>C51*D51*E51</f>
        <v>585000</v>
      </c>
    </row>
    <row r="52" spans="1:6" ht="34.9" customHeight="1" x14ac:dyDescent="0.3">
      <c r="B52" s="67"/>
      <c r="C52" s="81"/>
      <c r="D52" s="82"/>
      <c r="E52" s="83"/>
      <c r="F52" s="80"/>
    </row>
    <row r="53" spans="1:6" ht="34.9" customHeight="1" thickBot="1" x14ac:dyDescent="0.35">
      <c r="B53" s="84"/>
      <c r="C53" s="57" t="s">
        <v>34</v>
      </c>
      <c r="D53" s="57"/>
      <c r="E53" s="58"/>
      <c r="F53" s="85">
        <f>SUM(F51:F52)</f>
        <v>585000</v>
      </c>
    </row>
    <row r="54" spans="1:6" ht="34.9" customHeight="1" thickBot="1" x14ac:dyDescent="0.35">
      <c r="A54" s="3" t="s">
        <v>13</v>
      </c>
      <c r="B54" s="60"/>
      <c r="C54" s="61"/>
      <c r="D54" s="62"/>
      <c r="E54" s="61"/>
      <c r="F54" s="63"/>
    </row>
    <row r="55" spans="1:6" ht="34.9" customHeight="1" thickBot="1" x14ac:dyDescent="0.35">
      <c r="B55" s="64" t="s">
        <v>17</v>
      </c>
      <c r="C55" s="65"/>
      <c r="D55" s="65"/>
      <c r="E55" s="65"/>
      <c r="F55" s="66"/>
    </row>
    <row r="56" spans="1:6" ht="34.9" customHeight="1" x14ac:dyDescent="0.3">
      <c r="B56" s="73" t="s">
        <v>52</v>
      </c>
      <c r="C56" s="74">
        <v>1</v>
      </c>
      <c r="D56" s="75">
        <v>200000</v>
      </c>
      <c r="E56" s="74">
        <v>1</v>
      </c>
      <c r="F56" s="75">
        <f t="shared" ref="F56:F58" si="1">C56*D56*E56</f>
        <v>200000</v>
      </c>
    </row>
    <row r="57" spans="1:6" ht="34.9" customHeight="1" x14ac:dyDescent="0.3">
      <c r="B57" s="53" t="s">
        <v>41</v>
      </c>
      <c r="C57" s="54">
        <v>1</v>
      </c>
      <c r="D57" s="68">
        <v>500000</v>
      </c>
      <c r="E57" s="54">
        <v>1</v>
      </c>
      <c r="F57" s="68">
        <f>C57*D57*E57</f>
        <v>500000</v>
      </c>
    </row>
    <row r="58" spans="1:6" ht="34.9" customHeight="1" x14ac:dyDescent="0.3">
      <c r="B58" s="53" t="s">
        <v>42</v>
      </c>
      <c r="C58" s="54">
        <v>1</v>
      </c>
      <c r="D58" s="68">
        <v>500000</v>
      </c>
      <c r="E58" s="54">
        <v>1</v>
      </c>
      <c r="F58" s="68">
        <f t="shared" si="1"/>
        <v>500000</v>
      </c>
    </row>
    <row r="59" spans="1:6" ht="34.9" customHeight="1" x14ac:dyDescent="0.3">
      <c r="B59" s="53" t="s">
        <v>18</v>
      </c>
      <c r="C59" s="54"/>
      <c r="D59" s="68"/>
      <c r="E59" s="54"/>
      <c r="F59" s="68"/>
    </row>
    <row r="60" spans="1:6" ht="34.9" customHeight="1" x14ac:dyDescent="0.3">
      <c r="B60" s="53" t="s">
        <v>18</v>
      </c>
      <c r="C60" s="54"/>
      <c r="D60" s="55"/>
      <c r="E60" s="54"/>
      <c r="F60" s="55"/>
    </row>
    <row r="61" spans="1:6" ht="34.9" customHeight="1" thickBot="1" x14ac:dyDescent="0.35">
      <c r="B61" s="70"/>
      <c r="C61" s="86" t="s">
        <v>35</v>
      </c>
      <c r="D61" s="86"/>
      <c r="E61" s="87"/>
      <c r="F61" s="88">
        <f>SUM(F56:F60)</f>
        <v>1200000</v>
      </c>
    </row>
    <row r="62" spans="1:6" ht="34.9" customHeight="1" thickBot="1" x14ac:dyDescent="0.35">
      <c r="B62" s="60"/>
      <c r="C62" s="61"/>
      <c r="D62" s="62"/>
      <c r="E62" s="61"/>
      <c r="F62" s="63"/>
    </row>
    <row r="63" spans="1:6" ht="34.9" customHeight="1" thickBot="1" x14ac:dyDescent="0.35">
      <c r="B63" s="89"/>
      <c r="C63" s="90" t="s">
        <v>40</v>
      </c>
      <c r="D63" s="90"/>
      <c r="E63" s="91"/>
      <c r="F63" s="92">
        <f>F19+F25+F32+F41+F48+F53+F61</f>
        <v>10790000</v>
      </c>
    </row>
    <row r="64" spans="1:6" ht="34.9" customHeight="1" thickBot="1" x14ac:dyDescent="0.35">
      <c r="B64" s="93"/>
      <c r="C64" s="94"/>
      <c r="D64" s="95"/>
      <c r="E64" s="96"/>
      <c r="F64" s="97"/>
    </row>
    <row r="65" spans="2:6" ht="45.4" customHeight="1" thickBot="1" x14ac:dyDescent="0.35">
      <c r="B65" s="46" t="s">
        <v>19</v>
      </c>
      <c r="C65" s="47"/>
      <c r="D65" s="47"/>
      <c r="E65" s="47"/>
      <c r="F65" s="48"/>
    </row>
    <row r="66" spans="2:6" ht="202.15" customHeight="1" thickBot="1" x14ac:dyDescent="0.35">
      <c r="B66" s="98" t="s">
        <v>39</v>
      </c>
      <c r="C66" s="99"/>
      <c r="D66" s="100"/>
      <c r="E66" s="101"/>
      <c r="F66" s="102">
        <v>2700000</v>
      </c>
    </row>
    <row r="67" spans="2:6" ht="43.15" customHeight="1" thickBot="1" x14ac:dyDescent="0.35">
      <c r="B67" s="118"/>
      <c r="C67" s="119"/>
      <c r="D67" s="120"/>
      <c r="E67" s="103">
        <f>F63+F66</f>
        <v>13490000</v>
      </c>
      <c r="F67" s="104"/>
    </row>
    <row r="68" spans="2:6" ht="46.15" customHeight="1" thickBot="1" x14ac:dyDescent="0.35">
      <c r="D68" s="105" t="s">
        <v>11</v>
      </c>
      <c r="E68" s="106"/>
      <c r="F68" s="107">
        <f>F66*18%</f>
        <v>486000</v>
      </c>
    </row>
    <row r="69" spans="2:6" ht="46.9" customHeight="1" thickBot="1" x14ac:dyDescent="0.35">
      <c r="D69" s="108" t="s">
        <v>12</v>
      </c>
      <c r="E69" s="116">
        <f>SUM(E67:F68)</f>
        <v>13976000</v>
      </c>
      <c r="F69" s="117"/>
    </row>
    <row r="80" spans="2:6" x14ac:dyDescent="0.3">
      <c r="E80" s="2" t="s">
        <v>13</v>
      </c>
    </row>
  </sheetData>
  <mergeCells count="3">
    <mergeCell ref="B34:F34"/>
    <mergeCell ref="B67:D67"/>
    <mergeCell ref="E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MARINES DE BABIHANA</vt:lpstr>
      <vt:lpstr>HOTEL DES SAVANES</vt:lpstr>
      <vt:lpstr>SONGON PARK</vt:lpstr>
      <vt:lpstr>COMPLEXE HOTELIER LE GRAND ROI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MORREL</dc:creator>
  <cp:lastModifiedBy>MORREL</cp:lastModifiedBy>
  <cp:lastPrinted>2026-02-22T18:04:23Z</cp:lastPrinted>
  <dcterms:created xsi:type="dcterms:W3CDTF">2024-07-26T13:39:29Z</dcterms:created>
  <dcterms:modified xsi:type="dcterms:W3CDTF">2026-05-08T01:51:08Z</dcterms:modified>
</cp:coreProperties>
</file>